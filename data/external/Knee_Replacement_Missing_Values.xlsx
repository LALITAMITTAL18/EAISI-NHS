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gbsmit-my.sharepoint.com/personal/ginoh_sgb-smit_group/Documents/Documents/GitHub/EAISI-NHS/data/external/"/>
    </mc:Choice>
  </mc:AlternateContent>
  <xr:revisionPtr revIDLastSave="2" documentId="11_23F921ED1F330B3DA32C4C33DD4DF66D66EABB76" xr6:coauthVersionLast="47" xr6:coauthVersionMax="47" xr10:uidLastSave="{730B4577-5AC5-4B95-8285-C49AAAC90A87}"/>
  <bookViews>
    <workbookView xWindow="2868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<sst xmlns="http://schemas.openxmlformats.org/spreadsheetml/2006/main" count="107" uniqueCount="59">
  <si>
    <t>ColumnName</t>
  </si>
  <si>
    <t>Data_type</t>
  </si>
  <si>
    <t>total</t>
  </si>
  <si>
    <t>Missing</t>
  </si>
  <si>
    <t>complete_pct</t>
  </si>
  <si>
    <t>Provider Code</t>
  </si>
  <si>
    <t>Procedure</t>
  </si>
  <si>
    <t>Revision Flag</t>
  </si>
  <si>
    <t>Year</t>
  </si>
  <si>
    <t>Pre-Op Q Assisted By</t>
  </si>
  <si>
    <t>Lung Disease</t>
  </si>
  <si>
    <t>Diabetes</t>
  </si>
  <si>
    <t>Circulation</t>
  </si>
  <si>
    <t>Stroke</t>
  </si>
  <si>
    <t>High Bp</t>
  </si>
  <si>
    <t>Heart Disease</t>
  </si>
  <si>
    <t>Kidney Disease</t>
  </si>
  <si>
    <t>Post-Op Q EQ5D Index Profile</t>
  </si>
  <si>
    <t>Pre-Op Q EQ5D Index Profile</t>
  </si>
  <si>
    <t>Arthritis</t>
  </si>
  <si>
    <t>Depression</t>
  </si>
  <si>
    <t>Cancer</t>
  </si>
  <si>
    <t>Liver Disease</t>
  </si>
  <si>
    <t>Nervous System</t>
  </si>
  <si>
    <t>Post-Op Q EQ VAS</t>
  </si>
  <si>
    <t>Pre-Op Q EQ VAS</t>
  </si>
  <si>
    <t>Knee Replacement Pre-Op Q Washing</t>
  </si>
  <si>
    <t>Knee Replacement Pre-Op Q Pain</t>
  </si>
  <si>
    <t>Pre-Op Q Previous Surgery</t>
  </si>
  <si>
    <t>Pre-Op Q Symptom Period</t>
  </si>
  <si>
    <t>Knee Replacement Pre-Op Q Night Pain</t>
  </si>
  <si>
    <t>Knee Replacement Pre-Op Q Shopping</t>
  </si>
  <si>
    <t>Knee Replacement Pre-Op Q Stairs</t>
  </si>
  <si>
    <t>Knee Replacement Pre-Op Q Confidence</t>
  </si>
  <si>
    <t>Knee Replacement Pre-Op Q Transport</t>
  </si>
  <si>
    <t>Knee Replacement Pre-Op Q Work</t>
  </si>
  <si>
    <t>Knee Replacement Pre-Op Q Kneeling</t>
  </si>
  <si>
    <t>Knee Replacement Pre-Op Q Limping</t>
  </si>
  <si>
    <t>Knee Replacement Pre-Op Q Standing</t>
  </si>
  <si>
    <t>Knee Replacement Pre-Op Q Walking</t>
  </si>
  <si>
    <t>Pre-Op Q Assisted</t>
  </si>
  <si>
    <t>Pre-Op Q Living Arrangements</t>
  </si>
  <si>
    <t>Knee Replacement Post-Op Q Score</t>
  </si>
  <si>
    <t>Pre-Op Q Mobility</t>
  </si>
  <si>
    <t>Pre-Op Q Self-Care</t>
  </si>
  <si>
    <t>Pre-Op Q Activity</t>
  </si>
  <si>
    <t>Pre-Op Q Anxiety</t>
  </si>
  <si>
    <t>Knee Replacement OKS Post-Op Q Predicted</t>
  </si>
  <si>
    <t>Knee Replacement Pre-Op Q Score</t>
  </si>
  <si>
    <t>Pre-Op Q Discomfort</t>
  </si>
  <si>
    <t>Pre-Op Q Disability</t>
  </si>
  <si>
    <t>Pre-Op Q EQ5D Index</t>
  </si>
  <si>
    <t>Gender</t>
  </si>
  <si>
    <t>Age Band</t>
  </si>
  <si>
    <t>Knee Replacement EQ 5D Index Post-Op Q Predicted</t>
  </si>
  <si>
    <t>Knee Replacement EQ VAS_Post-Op Q Predicted</t>
  </si>
  <si>
    <t>object</t>
  </si>
  <si>
    <t>int64</t>
  </si>
  <si>
    <t>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</si>
</sst>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gbsmit-my.sharepoint.com/personal/ginoh_sgb-smit_group/Documents/Documents/GitHub/EAISI-NHS/data/external/Knee_Replacement_Missing_Values_ExtendedVersion.xlsx" TargetMode="External"/><Relationship Id="rId1" Type="http://schemas.openxmlformats.org/officeDocument/2006/relationships/externalLinkPath" Target="Knee_Replacement_Missing_Values_Extended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ColumnName</v>
          </cell>
        </row>
        <row r="2">
          <cell r="A2" t="str">
            <v>Knee Replacement Pre-Op Q Confidence</v>
          </cell>
        </row>
        <row r="3">
          <cell r="A3" t="str">
            <v>Knee Replacement Pre-Op Q Kneeling</v>
          </cell>
        </row>
        <row r="4">
          <cell r="A4" t="str">
            <v>Knee Replacement Pre-Op Q Limping</v>
          </cell>
        </row>
        <row r="5">
          <cell r="A5" t="str">
            <v>Knee Replacement Pre-Op Q Night Pain</v>
          </cell>
        </row>
        <row r="6">
          <cell r="A6" t="str">
            <v>Knee Replacement Pre-Op Q Pain</v>
          </cell>
        </row>
        <row r="7">
          <cell r="A7" t="str">
            <v>Knee Replacement Pre-Op Q Score</v>
          </cell>
        </row>
        <row r="8">
          <cell r="A8" t="str">
            <v>Arthritis</v>
          </cell>
        </row>
        <row r="9">
          <cell r="A9" t="str">
            <v>Cancer</v>
          </cell>
        </row>
        <row r="10">
          <cell r="A10" t="str">
            <v>Circulation</v>
          </cell>
        </row>
        <row r="11">
          <cell r="A11" t="str">
            <v>Depression</v>
          </cell>
        </row>
        <row r="12">
          <cell r="A12" t="str">
            <v>Diabetes</v>
          </cell>
        </row>
        <row r="13">
          <cell r="A13" t="str">
            <v>Heart Disease</v>
          </cell>
        </row>
        <row r="14">
          <cell r="A14" t="str">
            <v>High Bp</v>
          </cell>
        </row>
        <row r="15">
          <cell r="A15" t="str">
            <v>Kidney Disease</v>
          </cell>
        </row>
        <row r="16">
          <cell r="A16" t="str">
            <v>Liver Disease</v>
          </cell>
        </row>
        <row r="17">
          <cell r="A17" t="str">
            <v>Lung Disease</v>
          </cell>
        </row>
        <row r="18">
          <cell r="A18" t="str">
            <v>Nervous System</v>
          </cell>
        </row>
        <row r="19">
          <cell r="A19" t="str">
            <v>Stroke</v>
          </cell>
        </row>
        <row r="20">
          <cell r="A20" t="str">
            <v>Age Band</v>
          </cell>
        </row>
        <row r="21">
          <cell r="A21" t="str">
            <v>Gender</v>
          </cell>
        </row>
        <row r="22">
          <cell r="A22" t="str">
            <v>Knee Replacement OKS Post-Op Q Predicted</v>
          </cell>
        </row>
        <row r="23">
          <cell r="A23" t="str">
            <v>Knee Replacement Pre-Op Q Shopping</v>
          </cell>
        </row>
        <row r="24">
          <cell r="A24" t="str">
            <v>Knee Replacement Pre-Op Q Stairs</v>
          </cell>
        </row>
        <row r="25">
          <cell r="A25" t="str">
            <v>Knee Replacement Pre-Op Q Standing</v>
          </cell>
        </row>
        <row r="26">
          <cell r="A26" t="str">
            <v>Knee Replacement Pre-Op Q Transport</v>
          </cell>
        </row>
        <row r="27">
          <cell r="A27" t="str">
            <v>Knee Replacement Pre-Op Q Walking</v>
          </cell>
        </row>
        <row r="28">
          <cell r="A28" t="str">
            <v>Knee Replacement Pre-Op Q Washing</v>
          </cell>
        </row>
        <row r="29">
          <cell r="A29" t="str">
            <v>Knee Replacement Pre-Op Q Work</v>
          </cell>
        </row>
        <row r="30">
          <cell r="A30" t="str">
            <v>Post-Op Q EQ VAS</v>
          </cell>
        </row>
        <row r="31">
          <cell r="A31" t="str">
            <v>Post-Op Q EQ5D Index Profile</v>
          </cell>
        </row>
        <row r="32">
          <cell r="A32" t="str">
            <v>Pre-Op Q Activity</v>
          </cell>
        </row>
        <row r="33">
          <cell r="A33" t="str">
            <v>Pre-Op Q Anxiety</v>
          </cell>
        </row>
        <row r="34">
          <cell r="A34" t="str">
            <v>Pre-Op Q Assisted</v>
          </cell>
        </row>
        <row r="35">
          <cell r="A35" t="str">
            <v>Pre-Op Q Assisted By</v>
          </cell>
        </row>
        <row r="36">
          <cell r="A36" t="str">
            <v>Pre-Op Q Disability</v>
          </cell>
        </row>
        <row r="37">
          <cell r="A37" t="str">
            <v>Pre-Op Q Discomfort</v>
          </cell>
        </row>
        <row r="38">
          <cell r="A38" t="str">
            <v>Pre-Op Q EQ VAS</v>
          </cell>
        </row>
        <row r="39">
          <cell r="A39" t="str">
            <v>Pre-Op Q EQ5D Index</v>
          </cell>
        </row>
        <row r="40">
          <cell r="A40" t="str">
            <v>Pre-Op Q EQ5D Index Profile</v>
          </cell>
        </row>
        <row r="41">
          <cell r="A41" t="str">
            <v>Pre-Op Q Living Arrangements</v>
          </cell>
        </row>
        <row r="42">
          <cell r="A42" t="str">
            <v>Pre-Op Q Mobility</v>
          </cell>
        </row>
        <row r="43">
          <cell r="A43" t="str">
            <v>Pre-Op Q Previous Surgery</v>
          </cell>
        </row>
        <row r="44">
          <cell r="A44" t="str">
            <v>Pre-Op Q Self-Care</v>
          </cell>
        </row>
        <row r="45">
          <cell r="A45" t="str">
            <v>Pre-Op Q Symptom Period</v>
          </cell>
        </row>
        <row r="46">
          <cell r="A46" t="str">
            <v>Procedure</v>
          </cell>
        </row>
        <row r="47">
          <cell r="A47" t="str">
            <v>Provider Code</v>
          </cell>
        </row>
        <row r="48">
          <cell r="A48" t="str">
            <v>Revision Flag</v>
          </cell>
        </row>
        <row r="49">
          <cell r="A49" t="str">
            <v>Year</v>
          </cell>
        </row>
        <row r="50">
          <cell r="A50" t="str">
            <v>Knee Replacement Post-Op Q Score</v>
          </cell>
        </row>
        <row r="51">
          <cell r="A51" t="str">
            <v>Knee Replacement EQ 5D Index Post-Op Q Predicted</v>
          </cell>
        </row>
        <row r="52">
          <cell r="A52" t="str">
            <v>Knee Replacement EQ VAS_Post-Op Q Predicted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E51" sqref="A51:E5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56</v>
      </c>
      <c r="C2">
        <v>139236</v>
      </c>
      <c r="D2">
        <v>0</v>
      </c>
      <c r="E2">
        <v>100</v>
      </c>
      <c r="F2" t="str">
        <f>VLOOKUP(A2,[1]Sheet1!$A:$A,1,FALSE)</f>
        <v>Provider Code</v>
      </c>
    </row>
    <row r="3" spans="1:6" x14ac:dyDescent="0.25">
      <c r="A3" t="s">
        <v>6</v>
      </c>
      <c r="B3" t="s">
        <v>56</v>
      </c>
      <c r="C3">
        <v>139236</v>
      </c>
      <c r="D3">
        <v>0</v>
      </c>
      <c r="E3">
        <v>100</v>
      </c>
      <c r="F3" t="str">
        <f>VLOOKUP(A3,[1]Sheet1!$A:$A,1,FALSE)</f>
        <v>Procedure</v>
      </c>
    </row>
    <row r="4" spans="1:6" x14ac:dyDescent="0.25">
      <c r="A4" t="s">
        <v>7</v>
      </c>
      <c r="B4" t="s">
        <v>57</v>
      </c>
      <c r="C4">
        <v>139236</v>
      </c>
      <c r="D4">
        <v>0</v>
      </c>
      <c r="E4">
        <v>100</v>
      </c>
      <c r="F4" t="str">
        <f>VLOOKUP(A4,[1]Sheet1!$A:$A,1,FALSE)</f>
        <v>Revision Flag</v>
      </c>
    </row>
    <row r="5" spans="1:6" x14ac:dyDescent="0.25">
      <c r="A5" t="s">
        <v>8</v>
      </c>
      <c r="B5" t="s">
        <v>56</v>
      </c>
      <c r="C5">
        <v>139236</v>
      </c>
      <c r="D5">
        <v>0</v>
      </c>
      <c r="E5">
        <v>100</v>
      </c>
      <c r="F5" t="str">
        <f>VLOOKUP(A5,[1]Sheet1!$A:$A,1,FALSE)</f>
        <v>Year</v>
      </c>
    </row>
    <row r="6" spans="1:6" x14ac:dyDescent="0.25">
      <c r="A6" t="s">
        <v>9</v>
      </c>
      <c r="B6" t="s">
        <v>57</v>
      </c>
      <c r="C6">
        <v>139236</v>
      </c>
      <c r="D6">
        <v>0</v>
      </c>
      <c r="E6">
        <v>100</v>
      </c>
      <c r="F6" t="str">
        <f>VLOOKUP(A6,[1]Sheet1!$A:$A,1,FALSE)</f>
        <v>Pre-Op Q Assisted By</v>
      </c>
    </row>
    <row r="7" spans="1:6" x14ac:dyDescent="0.25">
      <c r="A7" t="s">
        <v>10</v>
      </c>
      <c r="B7" t="s">
        <v>57</v>
      </c>
      <c r="C7">
        <v>139236</v>
      </c>
      <c r="D7">
        <v>0</v>
      </c>
      <c r="E7">
        <v>100</v>
      </c>
      <c r="F7" t="str">
        <f>VLOOKUP(A7,[1]Sheet1!$A:$A,1,FALSE)</f>
        <v>Lung Disease</v>
      </c>
    </row>
    <row r="8" spans="1:6" x14ac:dyDescent="0.25">
      <c r="A8" t="s">
        <v>11</v>
      </c>
      <c r="B8" t="s">
        <v>57</v>
      </c>
      <c r="C8">
        <v>139236</v>
      </c>
      <c r="D8">
        <v>0</v>
      </c>
      <c r="E8">
        <v>100</v>
      </c>
      <c r="F8" t="str">
        <f>VLOOKUP(A8,[1]Sheet1!$A:$A,1,FALSE)</f>
        <v>Diabetes</v>
      </c>
    </row>
    <row r="9" spans="1:6" x14ac:dyDescent="0.25">
      <c r="A9" t="s">
        <v>12</v>
      </c>
      <c r="B9" t="s">
        <v>57</v>
      </c>
      <c r="C9">
        <v>139236</v>
      </c>
      <c r="D9">
        <v>0</v>
      </c>
      <c r="E9">
        <v>100</v>
      </c>
      <c r="F9" t="str">
        <f>VLOOKUP(A9,[1]Sheet1!$A:$A,1,FALSE)</f>
        <v>Circulation</v>
      </c>
    </row>
    <row r="10" spans="1:6" x14ac:dyDescent="0.25">
      <c r="A10" t="s">
        <v>13</v>
      </c>
      <c r="B10" t="s">
        <v>57</v>
      </c>
      <c r="C10">
        <v>139236</v>
      </c>
      <c r="D10">
        <v>0</v>
      </c>
      <c r="E10">
        <v>100</v>
      </c>
      <c r="F10" t="str">
        <f>VLOOKUP(A10,[1]Sheet1!$A:$A,1,FALSE)</f>
        <v>Stroke</v>
      </c>
    </row>
    <row r="11" spans="1:6" x14ac:dyDescent="0.25">
      <c r="A11" t="s">
        <v>14</v>
      </c>
      <c r="B11" t="s">
        <v>57</v>
      </c>
      <c r="C11">
        <v>139236</v>
      </c>
      <c r="D11">
        <v>0</v>
      </c>
      <c r="E11">
        <v>100</v>
      </c>
      <c r="F11" t="str">
        <f>VLOOKUP(A11,[1]Sheet1!$A:$A,1,FALSE)</f>
        <v>High Bp</v>
      </c>
    </row>
    <row r="12" spans="1:6" x14ac:dyDescent="0.25">
      <c r="A12" t="s">
        <v>15</v>
      </c>
      <c r="B12" t="s">
        <v>57</v>
      </c>
      <c r="C12">
        <v>139236</v>
      </c>
      <c r="D12">
        <v>0</v>
      </c>
      <c r="E12">
        <v>100</v>
      </c>
      <c r="F12" t="str">
        <f>VLOOKUP(A12,[1]Sheet1!$A:$A,1,FALSE)</f>
        <v>Heart Disease</v>
      </c>
    </row>
    <row r="13" spans="1:6" x14ac:dyDescent="0.25">
      <c r="A13" t="s">
        <v>16</v>
      </c>
      <c r="B13" t="s">
        <v>57</v>
      </c>
      <c r="C13">
        <v>139236</v>
      </c>
      <c r="D13">
        <v>0</v>
      </c>
      <c r="E13">
        <v>100</v>
      </c>
      <c r="F13" t="str">
        <f>VLOOKUP(A13,[1]Sheet1!$A:$A,1,FALSE)</f>
        <v>Kidney Disease</v>
      </c>
    </row>
    <row r="14" spans="1:6" x14ac:dyDescent="0.25">
      <c r="A14" t="s">
        <v>17</v>
      </c>
      <c r="B14" t="s">
        <v>57</v>
      </c>
      <c r="C14">
        <v>139236</v>
      </c>
      <c r="D14">
        <v>0</v>
      </c>
      <c r="E14">
        <v>100</v>
      </c>
      <c r="F14" t="str">
        <f>VLOOKUP(A14,[1]Sheet1!$A:$A,1,FALSE)</f>
        <v>Post-Op Q EQ5D Index Profile</v>
      </c>
    </row>
    <row r="15" spans="1:6" x14ac:dyDescent="0.25">
      <c r="A15" t="s">
        <v>18</v>
      </c>
      <c r="B15" t="s">
        <v>57</v>
      </c>
      <c r="C15">
        <v>139236</v>
      </c>
      <c r="D15">
        <v>0</v>
      </c>
      <c r="E15">
        <v>100</v>
      </c>
      <c r="F15" t="str">
        <f>VLOOKUP(A15,[1]Sheet1!$A:$A,1,FALSE)</f>
        <v>Pre-Op Q EQ5D Index Profile</v>
      </c>
    </row>
    <row r="16" spans="1:6" x14ac:dyDescent="0.25">
      <c r="A16" t="s">
        <v>19</v>
      </c>
      <c r="B16" t="s">
        <v>57</v>
      </c>
      <c r="C16">
        <v>139236</v>
      </c>
      <c r="D16">
        <v>0</v>
      </c>
      <c r="E16">
        <v>100</v>
      </c>
      <c r="F16" t="str">
        <f>VLOOKUP(A16,[1]Sheet1!$A:$A,1,FALSE)</f>
        <v>Arthritis</v>
      </c>
    </row>
    <row r="17" spans="1:6" x14ac:dyDescent="0.25">
      <c r="A17" t="s">
        <v>20</v>
      </c>
      <c r="B17" t="s">
        <v>57</v>
      </c>
      <c r="C17">
        <v>139236</v>
      </c>
      <c r="D17">
        <v>0</v>
      </c>
      <c r="E17">
        <v>100</v>
      </c>
      <c r="F17" t="str">
        <f>VLOOKUP(A17,[1]Sheet1!$A:$A,1,FALSE)</f>
        <v>Depression</v>
      </c>
    </row>
    <row r="18" spans="1:6" x14ac:dyDescent="0.25">
      <c r="A18" t="s">
        <v>21</v>
      </c>
      <c r="B18" t="s">
        <v>57</v>
      </c>
      <c r="C18">
        <v>139236</v>
      </c>
      <c r="D18">
        <v>0</v>
      </c>
      <c r="E18">
        <v>100</v>
      </c>
      <c r="F18" t="str">
        <f>VLOOKUP(A18,[1]Sheet1!$A:$A,1,FALSE)</f>
        <v>Cancer</v>
      </c>
    </row>
    <row r="19" spans="1:6" x14ac:dyDescent="0.25">
      <c r="A19" t="s">
        <v>22</v>
      </c>
      <c r="B19" t="s">
        <v>57</v>
      </c>
      <c r="C19">
        <v>139236</v>
      </c>
      <c r="D19">
        <v>0</v>
      </c>
      <c r="E19">
        <v>100</v>
      </c>
      <c r="F19" t="str">
        <f>VLOOKUP(A19,[1]Sheet1!$A:$A,1,FALSE)</f>
        <v>Liver Disease</v>
      </c>
    </row>
    <row r="20" spans="1:6" x14ac:dyDescent="0.25">
      <c r="A20" t="s">
        <v>23</v>
      </c>
      <c r="B20" t="s">
        <v>57</v>
      </c>
      <c r="C20">
        <v>139236</v>
      </c>
      <c r="D20">
        <v>0</v>
      </c>
      <c r="E20">
        <v>100</v>
      </c>
      <c r="F20" t="str">
        <f>VLOOKUP(A20,[1]Sheet1!$A:$A,1,FALSE)</f>
        <v>Nervous System</v>
      </c>
    </row>
    <row r="21" spans="1:6" x14ac:dyDescent="0.25">
      <c r="A21" t="s">
        <v>24</v>
      </c>
      <c r="B21" t="s">
        <v>56</v>
      </c>
      <c r="C21">
        <v>139211</v>
      </c>
      <c r="D21">
        <v>25</v>
      </c>
      <c r="E21">
        <v>99.98</v>
      </c>
      <c r="F21" t="str">
        <f>VLOOKUP(A21,[1]Sheet1!$A:$A,1,FALSE)</f>
        <v>Post-Op Q EQ VAS</v>
      </c>
    </row>
    <row r="22" spans="1:6" x14ac:dyDescent="0.25">
      <c r="A22" t="s">
        <v>25</v>
      </c>
      <c r="B22" t="s">
        <v>56</v>
      </c>
      <c r="C22">
        <v>139211</v>
      </c>
      <c r="D22">
        <v>25</v>
      </c>
      <c r="E22">
        <v>99.98</v>
      </c>
      <c r="F22" t="str">
        <f>VLOOKUP(A22,[1]Sheet1!$A:$A,1,FALSE)</f>
        <v>Pre-Op Q EQ VAS</v>
      </c>
    </row>
    <row r="23" spans="1:6" x14ac:dyDescent="0.25">
      <c r="A23" t="s">
        <v>26</v>
      </c>
      <c r="B23" t="s">
        <v>56</v>
      </c>
      <c r="C23">
        <v>139111</v>
      </c>
      <c r="D23">
        <v>125</v>
      </c>
      <c r="E23">
        <v>99.91</v>
      </c>
      <c r="F23" t="str">
        <f>VLOOKUP(A23,[1]Sheet1!$A:$A,1,FALSE)</f>
        <v>Knee Replacement Pre-Op Q Washing</v>
      </c>
    </row>
    <row r="24" spans="1:6" x14ac:dyDescent="0.25">
      <c r="A24" t="s">
        <v>27</v>
      </c>
      <c r="B24" t="s">
        <v>56</v>
      </c>
      <c r="C24">
        <v>139038</v>
      </c>
      <c r="D24">
        <v>198</v>
      </c>
      <c r="E24">
        <v>99.86</v>
      </c>
      <c r="F24" t="str">
        <f>VLOOKUP(A24,[1]Sheet1!$A:$A,1,FALSE)</f>
        <v>Knee Replacement Pre-Op Q Pain</v>
      </c>
    </row>
    <row r="25" spans="1:6" x14ac:dyDescent="0.25">
      <c r="A25" t="s">
        <v>28</v>
      </c>
      <c r="B25" t="s">
        <v>56</v>
      </c>
      <c r="C25">
        <v>138194</v>
      </c>
      <c r="D25">
        <v>1042</v>
      </c>
      <c r="E25">
        <v>99.25</v>
      </c>
      <c r="F25" t="str">
        <f>VLOOKUP(A25,[1]Sheet1!$A:$A,1,FALSE)</f>
        <v>Pre-Op Q Previous Surgery</v>
      </c>
    </row>
    <row r="26" spans="1:6" x14ac:dyDescent="0.25">
      <c r="A26" t="s">
        <v>29</v>
      </c>
      <c r="B26" t="s">
        <v>56</v>
      </c>
      <c r="C26">
        <v>138027</v>
      </c>
      <c r="D26">
        <v>1209</v>
      </c>
      <c r="E26">
        <v>99.12</v>
      </c>
      <c r="F26" t="str">
        <f>VLOOKUP(A26,[1]Sheet1!$A:$A,1,FALSE)</f>
        <v>Pre-Op Q Symptom Period</v>
      </c>
    </row>
    <row r="27" spans="1:6" x14ac:dyDescent="0.25">
      <c r="A27" t="s">
        <v>30</v>
      </c>
      <c r="B27" t="s">
        <v>56</v>
      </c>
      <c r="C27">
        <v>137932</v>
      </c>
      <c r="D27">
        <v>1304</v>
      </c>
      <c r="E27">
        <v>99.05</v>
      </c>
      <c r="F27" t="str">
        <f>VLOOKUP(A27,[1]Sheet1!$A:$A,1,FALSE)</f>
        <v>Knee Replacement Pre-Op Q Night Pain</v>
      </c>
    </row>
    <row r="28" spans="1:6" x14ac:dyDescent="0.25">
      <c r="A28" t="s">
        <v>31</v>
      </c>
      <c r="B28" t="s">
        <v>56</v>
      </c>
      <c r="C28">
        <v>137893</v>
      </c>
      <c r="D28">
        <v>1343</v>
      </c>
      <c r="E28">
        <v>99.03</v>
      </c>
      <c r="F28" t="str">
        <f>VLOOKUP(A28,[1]Sheet1!$A:$A,1,FALSE)</f>
        <v>Knee Replacement Pre-Op Q Shopping</v>
      </c>
    </row>
    <row r="29" spans="1:6" x14ac:dyDescent="0.25">
      <c r="A29" t="s">
        <v>32</v>
      </c>
      <c r="B29" t="s">
        <v>56</v>
      </c>
      <c r="C29">
        <v>137898</v>
      </c>
      <c r="D29">
        <v>1338</v>
      </c>
      <c r="E29">
        <v>99.03</v>
      </c>
      <c r="F29" t="str">
        <f>VLOOKUP(A29,[1]Sheet1!$A:$A,1,FALSE)</f>
        <v>Knee Replacement Pre-Op Q Stairs</v>
      </c>
    </row>
    <row r="30" spans="1:6" x14ac:dyDescent="0.25">
      <c r="A30" t="s">
        <v>33</v>
      </c>
      <c r="B30" t="s">
        <v>56</v>
      </c>
      <c r="C30">
        <v>137894</v>
      </c>
      <c r="D30">
        <v>1342</v>
      </c>
      <c r="E30">
        <v>99.03</v>
      </c>
      <c r="F30" t="str">
        <f>VLOOKUP(A30,[1]Sheet1!$A:$A,1,FALSE)</f>
        <v>Knee Replacement Pre-Op Q Confidence</v>
      </c>
    </row>
    <row r="31" spans="1:6" x14ac:dyDescent="0.25">
      <c r="A31" t="s">
        <v>34</v>
      </c>
      <c r="B31" t="s">
        <v>56</v>
      </c>
      <c r="C31">
        <v>137886</v>
      </c>
      <c r="D31">
        <v>1350</v>
      </c>
      <c r="E31">
        <v>99.02</v>
      </c>
      <c r="F31" t="str">
        <f>VLOOKUP(A31,[1]Sheet1!$A:$A,1,FALSE)</f>
        <v>Knee Replacement Pre-Op Q Transport</v>
      </c>
    </row>
    <row r="32" spans="1:6" x14ac:dyDescent="0.25">
      <c r="A32" t="s">
        <v>35</v>
      </c>
      <c r="B32" t="s">
        <v>56</v>
      </c>
      <c r="C32">
        <v>137880</v>
      </c>
      <c r="D32">
        <v>1356</v>
      </c>
      <c r="E32">
        <v>99.02</v>
      </c>
      <c r="F32" t="str">
        <f>VLOOKUP(A32,[1]Sheet1!$A:$A,1,FALSE)</f>
        <v>Knee Replacement Pre-Op Q Work</v>
      </c>
    </row>
    <row r="33" spans="1:6" x14ac:dyDescent="0.25">
      <c r="A33" t="s">
        <v>36</v>
      </c>
      <c r="B33" t="s">
        <v>56</v>
      </c>
      <c r="C33">
        <v>137840</v>
      </c>
      <c r="D33">
        <v>1396</v>
      </c>
      <c r="E33">
        <v>98.99</v>
      </c>
      <c r="F33" t="str">
        <f>VLOOKUP(A33,[1]Sheet1!$A:$A,1,FALSE)</f>
        <v>Knee Replacement Pre-Op Q Kneeling</v>
      </c>
    </row>
    <row r="34" spans="1:6" x14ac:dyDescent="0.25">
      <c r="A34" t="s">
        <v>37</v>
      </c>
      <c r="B34" t="s">
        <v>56</v>
      </c>
      <c r="C34">
        <v>137821</v>
      </c>
      <c r="D34">
        <v>1415</v>
      </c>
      <c r="E34">
        <v>98.97</v>
      </c>
      <c r="F34" t="str">
        <f>VLOOKUP(A34,[1]Sheet1!$A:$A,1,FALSE)</f>
        <v>Knee Replacement Pre-Op Q Limping</v>
      </c>
    </row>
    <row r="35" spans="1:6" x14ac:dyDescent="0.25">
      <c r="A35" t="s">
        <v>38</v>
      </c>
      <c r="B35" t="s">
        <v>56</v>
      </c>
      <c r="C35">
        <v>137783</v>
      </c>
      <c r="D35">
        <v>1453</v>
      </c>
      <c r="E35">
        <v>98.95</v>
      </c>
      <c r="F35" t="str">
        <f>VLOOKUP(A35,[1]Sheet1!$A:$A,1,FALSE)</f>
        <v>Knee Replacement Pre-Op Q Standing</v>
      </c>
    </row>
    <row r="36" spans="1:6" x14ac:dyDescent="0.25">
      <c r="A36" t="s">
        <v>39</v>
      </c>
      <c r="B36" t="s">
        <v>56</v>
      </c>
      <c r="C36">
        <v>137793</v>
      </c>
      <c r="D36">
        <v>1443</v>
      </c>
      <c r="E36">
        <v>98.95</v>
      </c>
      <c r="F36" t="str">
        <f>VLOOKUP(A36,[1]Sheet1!$A:$A,1,FALSE)</f>
        <v>Knee Replacement Pre-Op Q Walking</v>
      </c>
    </row>
    <row r="37" spans="1:6" x14ac:dyDescent="0.25">
      <c r="A37" t="s">
        <v>40</v>
      </c>
      <c r="B37" t="s">
        <v>56</v>
      </c>
      <c r="C37">
        <v>137725</v>
      </c>
      <c r="D37">
        <v>1511</v>
      </c>
      <c r="E37">
        <v>98.9</v>
      </c>
      <c r="F37" t="str">
        <f>VLOOKUP(A37,[1]Sheet1!$A:$A,1,FALSE)</f>
        <v>Pre-Op Q Assisted</v>
      </c>
    </row>
    <row r="38" spans="1:6" x14ac:dyDescent="0.25">
      <c r="A38" t="s">
        <v>41</v>
      </c>
      <c r="B38" t="s">
        <v>56</v>
      </c>
      <c r="C38">
        <v>137149</v>
      </c>
      <c r="D38">
        <v>2087</v>
      </c>
      <c r="E38">
        <v>98.48</v>
      </c>
      <c r="F38" t="str">
        <f>VLOOKUP(A38,[1]Sheet1!$A:$A,1,FALSE)</f>
        <v>Pre-Op Q Living Arrangements</v>
      </c>
    </row>
    <row r="39" spans="1:6" x14ac:dyDescent="0.25">
      <c r="A39" t="s">
        <v>42</v>
      </c>
      <c r="B39" t="s">
        <v>56</v>
      </c>
      <c r="C39">
        <v>136276</v>
      </c>
      <c r="D39">
        <v>2960</v>
      </c>
      <c r="E39">
        <v>97.83</v>
      </c>
      <c r="F39" t="str">
        <f>VLOOKUP(A39,[1]Sheet1!$A:$A,1,FALSE)</f>
        <v>Knee Replacement Post-Op Q Score</v>
      </c>
    </row>
    <row r="40" spans="1:6" x14ac:dyDescent="0.25">
      <c r="A40" t="s">
        <v>43</v>
      </c>
      <c r="B40" t="s">
        <v>56</v>
      </c>
      <c r="C40">
        <v>134950</v>
      </c>
      <c r="D40">
        <v>4286</v>
      </c>
      <c r="E40">
        <v>96.82</v>
      </c>
      <c r="F40" t="str">
        <f>VLOOKUP(A40,[1]Sheet1!$A:$A,1,FALSE)</f>
        <v>Pre-Op Q Mobility</v>
      </c>
    </row>
    <row r="41" spans="1:6" x14ac:dyDescent="0.25">
      <c r="A41" t="s">
        <v>44</v>
      </c>
      <c r="B41" t="s">
        <v>56</v>
      </c>
      <c r="C41">
        <v>134826</v>
      </c>
      <c r="D41">
        <v>4410</v>
      </c>
      <c r="E41">
        <v>96.73</v>
      </c>
      <c r="F41" t="str">
        <f>VLOOKUP(A41,[1]Sheet1!$A:$A,1,FALSE)</f>
        <v>Pre-Op Q Self-Care</v>
      </c>
    </row>
    <row r="42" spans="1:6" x14ac:dyDescent="0.25">
      <c r="A42" t="s">
        <v>45</v>
      </c>
      <c r="B42" t="s">
        <v>56</v>
      </c>
      <c r="C42">
        <v>134747</v>
      </c>
      <c r="D42">
        <v>4489</v>
      </c>
      <c r="E42">
        <v>96.67</v>
      </c>
      <c r="F42" t="str">
        <f>VLOOKUP(A42,[1]Sheet1!$A:$A,1,FALSE)</f>
        <v>Pre-Op Q Activity</v>
      </c>
    </row>
    <row r="43" spans="1:6" x14ac:dyDescent="0.25">
      <c r="A43" t="s">
        <v>46</v>
      </c>
      <c r="B43" t="s">
        <v>56</v>
      </c>
      <c r="C43">
        <v>134075</v>
      </c>
      <c r="D43">
        <v>5161</v>
      </c>
      <c r="E43">
        <v>96.15</v>
      </c>
      <c r="F43" t="str">
        <f>VLOOKUP(A43,[1]Sheet1!$A:$A,1,FALSE)</f>
        <v>Pre-Op Q Anxiety</v>
      </c>
    </row>
    <row r="44" spans="1:6" x14ac:dyDescent="0.25">
      <c r="A44" t="s">
        <v>47</v>
      </c>
      <c r="B44" t="s">
        <v>58</v>
      </c>
      <c r="C44">
        <v>133855</v>
      </c>
      <c r="D44">
        <v>5381</v>
      </c>
      <c r="E44">
        <v>95.98</v>
      </c>
      <c r="F44" t="str">
        <f>VLOOKUP(A44,[1]Sheet1!$A:$A,1,FALSE)</f>
        <v>Knee Replacement OKS Post-Op Q Predicted</v>
      </c>
    </row>
    <row r="45" spans="1:6" x14ac:dyDescent="0.25">
      <c r="A45" t="s">
        <v>48</v>
      </c>
      <c r="B45" t="s">
        <v>56</v>
      </c>
      <c r="C45">
        <v>133719</v>
      </c>
      <c r="D45">
        <v>5517</v>
      </c>
      <c r="E45">
        <v>95.87</v>
      </c>
      <c r="F45" t="str">
        <f>VLOOKUP(A45,[1]Sheet1!$A:$A,1,FALSE)</f>
        <v>Knee Replacement Pre-Op Q Score</v>
      </c>
    </row>
    <row r="46" spans="1:6" x14ac:dyDescent="0.25">
      <c r="A46" t="s">
        <v>49</v>
      </c>
      <c r="B46" t="s">
        <v>56</v>
      </c>
      <c r="C46">
        <v>133696</v>
      </c>
      <c r="D46">
        <v>5540</v>
      </c>
      <c r="E46">
        <v>95.86</v>
      </c>
      <c r="F46" t="str">
        <f>VLOOKUP(A46,[1]Sheet1!$A:$A,1,FALSE)</f>
        <v>Pre-Op Q Discomfort</v>
      </c>
    </row>
    <row r="47" spans="1:6" x14ac:dyDescent="0.25">
      <c r="A47" t="s">
        <v>50</v>
      </c>
      <c r="B47" t="s">
        <v>56</v>
      </c>
      <c r="C47">
        <v>133329</v>
      </c>
      <c r="D47">
        <v>5907</v>
      </c>
      <c r="E47">
        <v>95.57</v>
      </c>
      <c r="F47" t="str">
        <f>VLOOKUP(A47,[1]Sheet1!$A:$A,1,FALSE)</f>
        <v>Pre-Op Q Disability</v>
      </c>
    </row>
    <row r="48" spans="1:6" x14ac:dyDescent="0.25">
      <c r="A48" t="s">
        <v>51</v>
      </c>
      <c r="B48" t="s">
        <v>58</v>
      </c>
      <c r="C48">
        <v>131736</v>
      </c>
      <c r="D48">
        <v>7500</v>
      </c>
      <c r="E48">
        <v>94.31</v>
      </c>
      <c r="F48" t="str">
        <f>VLOOKUP(A48,[1]Sheet1!$A:$A,1,FALSE)</f>
        <v>Pre-Op Q EQ5D Index</v>
      </c>
    </row>
    <row r="49" spans="1:6" x14ac:dyDescent="0.25">
      <c r="A49" t="s">
        <v>52</v>
      </c>
      <c r="B49" t="s">
        <v>56</v>
      </c>
      <c r="C49">
        <v>129834</v>
      </c>
      <c r="D49">
        <v>9402</v>
      </c>
      <c r="E49">
        <v>92.76</v>
      </c>
      <c r="F49" t="str">
        <f>VLOOKUP(A49,[1]Sheet1!$A:$A,1,FALSE)</f>
        <v>Gender</v>
      </c>
    </row>
    <row r="50" spans="1:6" x14ac:dyDescent="0.25">
      <c r="A50" t="s">
        <v>53</v>
      </c>
      <c r="B50" t="s">
        <v>56</v>
      </c>
      <c r="C50">
        <v>129834</v>
      </c>
      <c r="D50">
        <v>9402</v>
      </c>
      <c r="E50">
        <v>92.76</v>
      </c>
      <c r="F50" t="str">
        <f>VLOOKUP(A50,[1]Sheet1!$A:$A,1,FALSE)</f>
        <v>Age Band</v>
      </c>
    </row>
    <row r="51" spans="1:6" x14ac:dyDescent="0.25">
      <c r="A51" t="s">
        <v>54</v>
      </c>
      <c r="B51" t="s">
        <v>58</v>
      </c>
      <c r="C51">
        <v>124914</v>
      </c>
      <c r="D51">
        <v>14322</v>
      </c>
      <c r="E51">
        <v>88.53</v>
      </c>
      <c r="F51" t="str">
        <f>VLOOKUP(A51,[1]Sheet1!$A:$A,1,FALSE)</f>
        <v>Knee Replacement EQ 5D Index Post-Op Q Predicted</v>
      </c>
    </row>
    <row r="52" spans="1:6" x14ac:dyDescent="0.25">
      <c r="A52" t="s">
        <v>55</v>
      </c>
      <c r="B52" t="s">
        <v>58</v>
      </c>
      <c r="C52">
        <v>119813</v>
      </c>
      <c r="D52">
        <v>19423</v>
      </c>
      <c r="E52">
        <v>83.79</v>
      </c>
      <c r="F52" t="str">
        <f>VLOOKUP(A52,[1]Sheet1!$A:$A,1,FALSE)</f>
        <v>Knee Replacement EQ VAS_Post-Op Q Predicted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Gino Holthausen</cp:lastModifiedBy>
  <dcterms:created xsi:type="dcterms:W3CDTF">2026-02-06T14:47:43Z</dcterms:created>
  <dcterms:modified xsi:type="dcterms:W3CDTF">2026-02-06T15:06:02Z</dcterms:modified>
</cp:coreProperties>
</file>