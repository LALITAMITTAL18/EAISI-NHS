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https://sgbsmit-my.sharepoint.com/personal/ginoh_sgb-smit_group/Documents/Documents/GitHub/EAISI-NHS/data/external/"/>
    </mc:Choice>
  </mc:AlternateContent>
  <xr:revisionPtr revIDLastSave="114" documentId="8_{932606EB-9CC2-4277-B33E-A7EDB74F399C}" xr6:coauthVersionLast="47" xr6:coauthVersionMax="47" xr10:uidLastSave="{ED33E816-4BFD-4EFD-87FA-3D14772588B2}"/>
  <bookViews>
    <workbookView xWindow="28680" yWindow="-120" windowWidth="38640" windowHeight="21120" xr2:uid="{00000000-000D-0000-FFFF-FFFF00000000}"/>
  </bookViews>
  <sheets>
    <sheet name="Sheet1" sheetId="1" r:id="rId1"/>
  </sheets>
  <definedNames>
    <definedName name="_xlnm._FilterDatabase" localSheetId="0" hidden="1">Sheet1!$A$1:$P$62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2" i="1" l="1"/>
</calcChain>
</file>

<file path=xl/sharedStrings.xml><?xml version="1.0" encoding="utf-8"?>
<sst xmlns="http://schemas.openxmlformats.org/spreadsheetml/2006/main" count="367" uniqueCount="186">
  <si>
    <t>ColumnName</t>
  </si>
  <si>
    <t>Data_type</t>
  </si>
  <si>
    <t>total</t>
  </si>
  <si>
    <t>Missing</t>
  </si>
  <si>
    <t>complete_pct</t>
  </si>
  <si>
    <t>Provider Code</t>
  </si>
  <si>
    <t>Procedure</t>
  </si>
  <si>
    <t>Revision Flag</t>
  </si>
  <si>
    <t>Year</t>
  </si>
  <si>
    <t>Pre-Op Q Assisted By</t>
  </si>
  <si>
    <t>High Bp</t>
  </si>
  <si>
    <t>Stroke</t>
  </si>
  <si>
    <t>Circulation</t>
  </si>
  <si>
    <t>Heart Disease</t>
  </si>
  <si>
    <t>Depression</t>
  </si>
  <si>
    <t>Cancer</t>
  </si>
  <si>
    <t>Liver Disease</t>
  </si>
  <si>
    <t>Nervous System</t>
  </si>
  <si>
    <t>Kidney Disease</t>
  </si>
  <si>
    <t>Diabetes</t>
  </si>
  <si>
    <t>Lung Disease</t>
  </si>
  <si>
    <t>Post-Op Q EQ5D Index Profile</t>
  </si>
  <si>
    <t>Pre-Op Q EQ5D Index Profile</t>
  </si>
  <si>
    <t>Arthritis</t>
  </si>
  <si>
    <t>Post-Op Q EQ VAS</t>
  </si>
  <si>
    <t>Pre-Op Q EQ VAS</t>
  </si>
  <si>
    <t>Knee Replacement Pre-Op Q Washing</t>
  </si>
  <si>
    <t>Knee Replacement Pre-Op Q Pain</t>
  </si>
  <si>
    <t>Pre-Op Q Previous Surgery</t>
  </si>
  <si>
    <t>Pre-Op Q Symptom Period</t>
  </si>
  <si>
    <t>Knee Replacement Pre-Op Q Night Pain</t>
  </si>
  <si>
    <t>Knee Replacement Pre-Op Q Shopping</t>
  </si>
  <si>
    <t>Knee Replacement Pre-Op Q Stairs</t>
  </si>
  <si>
    <t>Knee Replacement Pre-Op Q Confidence</t>
  </si>
  <si>
    <t>Knee Replacement Pre-Op Q Transport</t>
  </si>
  <si>
    <t>Knee Replacement Pre-Op Q Work</t>
  </si>
  <si>
    <t>Knee Replacement Pre-Op Q Kneeling</t>
  </si>
  <si>
    <t>Knee Replacement Pre-Op Q Limping</t>
  </si>
  <si>
    <t>Knee Replacement Pre-Op Q Standing</t>
  </si>
  <si>
    <t>Knee Replacement Pre-Op Q Walking</t>
  </si>
  <si>
    <t>Pre-Op Q Assisted</t>
  </si>
  <si>
    <t>Pre-Op Q Living Arrangements</t>
  </si>
  <si>
    <t>Pre-Op Q Mobility</t>
  </si>
  <si>
    <t>Pre-Op Q Self-Care</t>
  </si>
  <si>
    <t>Pre-Op Q Activity</t>
  </si>
  <si>
    <t>Pre-Op Q Anxiety</t>
  </si>
  <si>
    <t>Knee Replacement OKS Post-Op Q Predicted</t>
  </si>
  <si>
    <t>Knee Replacement Pre-Op Q Score</t>
  </si>
  <si>
    <t>Pre-Op Q Discomfort</t>
  </si>
  <si>
    <t>Pre-Op Q Disability</t>
  </si>
  <si>
    <t>Pre-Op Q EQ5D Index</t>
  </si>
  <si>
    <t>Gender</t>
  </si>
  <si>
    <t>Age Band</t>
  </si>
  <si>
    <t>object</t>
  </si>
  <si>
    <t>int64</t>
  </si>
  <si>
    <t>Int64</t>
  </si>
  <si>
    <t>float64</t>
  </si>
  <si>
    <t>Values</t>
  </si>
  <si>
    <t>1    107274
0     31962</t>
  </si>
  <si>
    <t>70 to 79     55056
60 to 69     45361
80 to 89     15883
50 to 59     13260
Missing       9402
40 to 49       250
90 to 120       24</t>
  </si>
  <si>
    <t>MAX</t>
  </si>
  <si>
    <t>MIN</t>
  </si>
  <si>
    <t>0    131693
1      7543</t>
  </si>
  <si>
    <t>0    126205
1     13031</t>
  </si>
  <si>
    <t>0    121857
1     17379</t>
  </si>
  <si>
    <t>2          74085
1          55749
Missing     9402</t>
  </si>
  <si>
    <t>1 = Male
2 = Female
9 = Not specified
0 = Not known</t>
  </si>
  <si>
    <t>0 = No
1 = Yes</t>
  </si>
  <si>
    <t>0    126185
1     13051</t>
  </si>
  <si>
    <t>0    77666
1    61570</t>
  </si>
  <si>
    <t>0    136380
1      2856</t>
  </si>
  <si>
    <t>1          40686
3          35050
2          32501
0          18877
4          10780
Missing     1342</t>
  </si>
  <si>
    <t>Question</t>
  </si>
  <si>
    <t>Response to question 10 of the Knee Replacement specific questions 
Corresponding Q1 Knee Replacement Question: 
During the past 4 weeks, have you felt that your knee might suddenly 'give way' or let you down?</t>
  </si>
  <si>
    <t>0 = All of the time 
1 = Most of the time 
2 = Often, not just at first 
3 = Sometimes or just at first 
4 = Rarely/Never 
9 = Missing</t>
  </si>
  <si>
    <t>0 = No, impossible 
1 = With extreme difficulty 
2 = With moderate difficulty 
3 = With little difficulty 
4 = Yes, easily 
9 = Missing</t>
  </si>
  <si>
    <t>Response to question 8 of the Knee Replacement specific questions 
Corresponding Q1 Knee Replacement Question: 
During the past 4 weeks, could you kneel down and get up again afterwards?</t>
  </si>
  <si>
    <t>Response to question 7 of the Knee Replacement specific questions 
Corresponding Q1 Knee Replacement Question: 
During the past 4 weeks, have you been limping when walking, because of your knee?</t>
  </si>
  <si>
    <t>Response to question 2 of the Knee Replacement specific questions 
Corresponding Q1 Knee Replacement Question: 
During the past 4 weeks, have you been troubled by pain from your knee in bed at night?</t>
  </si>
  <si>
    <t>0 = Every night  
1 = Most nights 
2 = Some nights 
3 = Only 1 or 2 nights 
4 = No nights 
9 = Missing</t>
  </si>
  <si>
    <t xml:space="preserve">Response to question 1 of the Knee Replacement specific questions 
Corresponding Q1 Knee Replacement Question: 
During the past 4 weeks, how would you describe the pain you usually had from your knee? </t>
  </si>
  <si>
    <t>0 = Severe 
1 = Moderate 
2 = Mild 
3 = Very Mild 
4 = None  
9 = Missing</t>
  </si>
  <si>
    <t>Each of the KR question has 5 possible responses which each are attributable 0-4 points. The KR score is 
derived by adding the points for each question. The maximum number of points is 48 which would signify 
the best outcome, the minimum being 0.
Integer between 0 and 48. Will be NULL if the predicted score can't be be calculated, e.g. Q2 not returned 
yet, questionnaire not linked to HES or model-dependent variables not completed.</t>
  </si>
  <si>
    <t>Integer between 0 and 48</t>
  </si>
  <si>
    <t>Response to question 11 of the Knee Replacement specific questions 
Corresponding Q1 Knee Replacement Question: 
During the past 4 weeks, could you do the household shopping on your own?</t>
  </si>
  <si>
    <t>Response to question 12 of the Knee Replacement specific questions 
Corresponding Q1 Knee Replacement Question: 
During the past 4 weeks, could you walk down one flight of stairs?</t>
  </si>
  <si>
    <t>Response to question 6 of the Knee Replacement specific questions 
Corresponding Q1 Knee Replacement Question: 
During the past 4 weeks, after a meal (sat at a table), how painful has it been for you to stand up from a 
chair because of your knee?</t>
  </si>
  <si>
    <t xml:space="preserve">0 = Unbearable 
1 = Very painful 
2 = Moderately painful 
3 = Slightly painful 
4 = not at all painful 
9 = Missing </t>
  </si>
  <si>
    <t>Response to question 4 of the Knee Replacement specific questions 
Corresponding Q1 Knee Replacement Question: 
During the past 4 weeks, have you had any trouble getting in or out of your car or using public transport 
because of your knee?</t>
  </si>
  <si>
    <t>0 = Impossible to do 
1 = Extreme difficulty 
2 = Moderate trouble 
3 = Very little trouble 
4 = No trouble at all 
9 = Missing</t>
  </si>
  <si>
    <t>Response to question 5 of the Knee Replacement specific questions 
Corresponding Q1 Knee Replacement Question: 
During the past 4 weeks, for how long have you been able to walk before pain from your knee becomes 
severe? (with or without a stick)</t>
  </si>
  <si>
    <t>0 = Not at all - pain severe on walking 
1 = Around the house only 
2 = 5-15 minutes 
3 = 16-30 minutes 
4 = No pain/more than 30 minutes 
9 = Missing</t>
  </si>
  <si>
    <t>Response to question 3 of the Knee Replacement specific questions 
Corresponding Q1 Knee Replacement Question: 
During the past 4 weeks, have you had trouble washing and drying yourself (all over) because of your knee</t>
  </si>
  <si>
    <t>Response to question 9 of the Knee Replacement specific questions 
Corresponding Q1 Knee Replacement Question: 
During the past 4 weeks, how much has pain from your knee interfered with your usual work (including 
housework)?</t>
  </si>
  <si>
    <t xml:space="preserve">0 = Totally 
1 = Greatly 
2 = Moderately 
3 = A little bit 
4 = Not at all 
9 = Missing  </t>
  </si>
  <si>
    <t>Response to corresponding Q1 general health question: 
Have you been told by a doctor that you have liver disease?</t>
  </si>
  <si>
    <t>Response to corresponding Q1 general health question: 
Have you been told by a doctor that you have lung disease?</t>
  </si>
  <si>
    <t>1 = Yes 
9 = Missing</t>
  </si>
  <si>
    <t>Original scores</t>
  </si>
  <si>
    <t>Adjusted scores</t>
  </si>
  <si>
    <t>0    131354
1      7882</t>
  </si>
  <si>
    <t xml:space="preserve">Response to corresponding Q1 general health question: 
Have you been told by a doctor that you have diseases of the nervous system? </t>
  </si>
  <si>
    <t>Indicates the relationship of the patient with the person assisting in the completion of the questionnaire. 
Corresponding Q1 general health question: If the answer is yes, please give the relationship to you of the 
person assisting you.</t>
  </si>
  <si>
    <t>1 = Family member (e.g. spouse, child, parent)  
2 = Other relative  
3 = Carer  
4 = Friend/Neighbour  
5 = Healthcare professional (e.g. nurse/doctor)  
6 = Other  
9 = Missing</t>
  </si>
  <si>
    <t>1 = Yes 
2 = No 
9 = Missing</t>
  </si>
  <si>
    <t>Indicates whether the patient received any assistance in the completion of the questionnaire. Corresponding 
Q1 general health question: Is anyone helping you fill in this questionnaire?</t>
  </si>
  <si>
    <t>Response to corresponding Q1 general health question: 
Do you consider yourself to have a disability?</t>
  </si>
  <si>
    <t>EQ-5D Index score derived from the EQ-5D profile. 11111= 1. For every 2 or 3 present a fraction is 
deducted, the lower the score the worse the patient reports on the EQ-5D questions</t>
  </si>
  <si>
    <t>Value between -0.594 and 1</t>
  </si>
  <si>
    <t>EQ-5D Profile lists the responses to the EQ-5D questions</t>
  </si>
  <si>
    <t xml:space="preserve">e.g. 11111 means the patient chose option 1 for each question which is best, 33333 means they chose 
option 3 for each question indicating the worst response </t>
  </si>
  <si>
    <t>Response to corresponding Q1 general health question: 
Which statement best describes your living arrangements?</t>
  </si>
  <si>
    <t>1 = I live with partner/spouse/family/friends 
 2 = I live alone  
3 = I live in a nursing home, hospital or other long-term care home 
4 = Other  
9 = Missing</t>
  </si>
  <si>
    <t xml:space="preserve">Indicates whether the patient has had previous surgery of the type they are going to undergo (exact wording 
of question varies dependent on procedure) </t>
  </si>
  <si>
    <t>Indicates the duration for which the patient has had symptoms. Corresponding Q1 Knee Replacement 
question: For how long have you had problems with the knee on which you are about to have surgery?</t>
  </si>
  <si>
    <t>1 = Less than 1 year  
2 = 1 to 5 years  
3 = 6 to 10 years  
4 = More than 10 years</t>
  </si>
  <si>
    <t>Response to corresponding Q1 general health question: 
Have you been told by a doctor that you have problems caused by a stroke?</t>
  </si>
  <si>
    <t xml:space="preserve">Response to corresponding Q1 general health question: 
Have you been told by a doctor that you have cancer? </t>
  </si>
  <si>
    <t>Response to corresponding Q1 general health question: 
Have you been told by a doctor that you have leg pain when walking due to poor circulation?</t>
  </si>
  <si>
    <t xml:space="preserve">Response to corresponding Q1 general health question: 
Have you been told by a doctor that you have depression?  </t>
  </si>
  <si>
    <t>Response to corresponding Q1 general health question: 
Have you been told by a doctor that you have diabetes?</t>
  </si>
  <si>
    <t xml:space="preserve">Response to corresponding Q1 general health question: 
Have you been told by a doctor that you have heart disease? </t>
  </si>
  <si>
    <t>Response to corresponding Q1 general health question: 
Have you been told by a doctor that you have high blood pressure?</t>
  </si>
  <si>
    <t>Response to corresponding Q1 general health question: 
Have you been told by a doctor that you have kidney disease?</t>
  </si>
  <si>
    <t xml:space="preserve">Response to corresponding Q1 general health question: 
Have you been told by a doctor that you have arthritis? </t>
  </si>
  <si>
    <t>0          60103
1          48650
2          24326
3           4022
Missing     1396
4            739</t>
  </si>
  <si>
    <t>0          60433
1          47425
2          16080
3          12158
4           1725
Missing     1415</t>
  </si>
  <si>
    <t>0          45021
1          40943
2          35851
4           8737
3           7380
Missing     1304</t>
  </si>
  <si>
    <t>0          70493
1          60701
2           6171
3           1340
4            333
Missing      198</t>
  </si>
  <si>
    <t>Sum of other questions in category.</t>
  </si>
  <si>
    <t>0    138424
1       812</t>
  </si>
  <si>
    <t>0    126457
1     12779</t>
  </si>
  <si>
    <t>0    137814
1      1422</t>
  </si>
  <si>
    <t>0    136933
1      2303</t>
  </si>
  <si>
    <t>Response to third of the EQ-5D questions 
Corresponding Q1 general health question: 
Usual activities? 
Rates the patient's self-perceived ability to perform usual activities</t>
  </si>
  <si>
    <t>1 = I have no problems with performing my usual activities  
2 = I have some problems with performing my usual activities  
3 = I am unable to perform my usual activities  
9 = Missing</t>
  </si>
  <si>
    <t>2          105171
3           16928
1           12648
Missing      4489</t>
  </si>
  <si>
    <t>1          85417
2          43307
3           5351
Missing     5161</t>
  </si>
  <si>
    <t>1 = I am not anxious or depressed  
2 = I am moderately anxious or depressed  
3 = I  am extremely anxious or depressed 
9 = Missing</t>
  </si>
  <si>
    <t>Response to fifth of the EQ-5D questions 
Corresponding Q1 general health question: 
Anxiety/Depression? 
Rates the patient's self-perceived level of Anxiety/Depression</t>
  </si>
  <si>
    <t>Response to first of the EQ-5D questions 
Corresponding Q1 general health question: 
Mobility? 
Rates the patient's self-perceived mobility</t>
  </si>
  <si>
    <t>2          123763
1           10799
Missing      4286
3             388</t>
  </si>
  <si>
    <t>1 = I have no problems in walking about  
2 = I have some problems in walking about  
3 = I am confined to bed  
9 = Missing</t>
  </si>
  <si>
    <t xml:space="preserve">Response to second of the EQ-5D questions 
Corresponding Q1 general health question: 
Self-care? 
Rates the patient's self-perceived ability to care for themselves </t>
  </si>
  <si>
    <t>1 = I have no problems with self-care  
2 = I have some problems washing or dressing myself  
3 = I am unable to wash or dress myself  
9 = Missing</t>
  </si>
  <si>
    <t>1          93976
2          39843
Missing     4410
3           1007</t>
  </si>
  <si>
    <t>2          80643
3          51645
Missing     5540
1           1408</t>
  </si>
  <si>
    <t>Response to fourth of the EQ-5D questions 
Corresponding Q1 general health question: 
Pain/Discomfort? 
Rates the patient's self-perceived pain/discomfort</t>
  </si>
  <si>
    <t>1 = I have no pain or discomfort  
2 = I have moderate pain or discomfort  
3 = I have extreme pain or discomfort  
9 = Missing</t>
  </si>
  <si>
    <t xml:space="preserve">EQ-5D Profile lists the responses to the EQ-5D questions  </t>
  </si>
  <si>
    <t xml:space="preserve">e.g. 11111 means the patient chose option 1 for each question which is best, 33333 means they chose 
option 3 for each question indicating the worst response   </t>
  </si>
  <si>
    <t>A provider code is a unique code that identifies an organisation acting as a health care provider. The code is 
managed by the National Administrative Codes Service (NACS) and supports the identification of 
organisations exchanging information within the NHS. 
Procode contains the complete NHS provider code (ie organisation code plus site code).</t>
  </si>
  <si>
    <t xml:space="preserve">5an = 5-character provider code 
89997 = Non-UK provider where no organisation code has been issued 
89999 = Non-NHS UK provider where no organisation code has been issued </t>
  </si>
  <si>
    <t>Knee Replacement    139236</t>
  </si>
  <si>
    <t>Type of surgery</t>
  </si>
  <si>
    <t>Type of surgery (Hip or knee)</t>
  </si>
  <si>
    <t>0    133962
1      5274</t>
  </si>
  <si>
    <t>Indicates whether or not an eligible PROMs procedure has been identified as a revision, as opposed to a 
primary, procedure. For those procedures (currently varicose vein and groin hernia) where the 
primary/revision distinction does not apply, this field will be set to 0.</t>
  </si>
  <si>
    <t xml:space="preserve">0 = not a revision procedure 
1 = revision procedure </t>
  </si>
  <si>
    <t>Year of surgery</t>
  </si>
  <si>
    <t>2016/17    47604
2017/18    45997
2018/19    45635</t>
  </si>
  <si>
    <t>Year of dataset</t>
  </si>
  <si>
    <t>Age bandwiths</t>
  </si>
  <si>
    <t>Gender identification</t>
  </si>
  <si>
    <t>Knee Replacement Post-Op Q Score</t>
  </si>
  <si>
    <t>Knee Replacement EQ 5D Index Post-Op Q Predicted</t>
  </si>
  <si>
    <t>Knee Replacement EQ VAS_Post-Op Q Predicted</t>
  </si>
  <si>
    <t>x/y</t>
  </si>
  <si>
    <t>Variable type</t>
  </si>
  <si>
    <t>Ordinal</t>
  </si>
  <si>
    <t>Interval</t>
  </si>
  <si>
    <t>Nominal</t>
  </si>
  <si>
    <t>Nominal/Ordinal</t>
  </si>
  <si>
    <t>0 =  No
1 = Yes</t>
  </si>
  <si>
    <t>Low = positive</t>
  </si>
  <si>
    <t>Low = negative</t>
  </si>
  <si>
    <t>Direction</t>
  </si>
  <si>
    <t>Correction made to?</t>
  </si>
  <si>
    <t>Yes</t>
  </si>
  <si>
    <t>No</t>
  </si>
  <si>
    <t>Adjustment (to be) made</t>
  </si>
  <si>
    <t>Create dummy variables</t>
  </si>
  <si>
    <t>Missing values are adjusted to value 0 (which equals No)</t>
  </si>
  <si>
    <t>9 &gt; NAN</t>
  </si>
  <si>
    <t>Create dummy variables
9 &gt; NAN</t>
  </si>
  <si>
    <t>Adjusted 2 &gt; 0
9 &gt; NAN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</si>
</sst>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color rgb="FF006100"/>
      <name val="Calibri"/>
      <family val="2"/>
      <scheme val="minor"/>
    </font>
  </fonts>
  <fills count="5">
    <fill>
      <patternFill patternType="none"/>
    </fill>
    <fill>
      <patternFill patternType="gray125"/>
    </fill>
    <fill>
      <patternFill patternType="solid">
        <fgColor rgb="FFC6EFCE"/>
      </patternFill>
    </fill>
    <fill>
      <patternFill patternType="solid">
        <fgColor theme="8" tint="0.79998168889431442"/>
        <bgColor indexed="64"/>
      </patternFill>
    </fill>
    <fill>
      <patternFill patternType="solid">
        <fgColor theme="6"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right/>
      <top/>
      <bottom style="thin">
        <color indexed="64"/>
      </bottom>
      <diagonal/>
    </border>
  </borders>
  <cellStyleXfs count="2">
    <xf numFmtId="0" fontId="0" fillId="0" borderId="0"/>
    <xf numFmtId="0" fontId="2" fillId="2" borderId="0" applyNumberFormat="0" applyBorder="0" applyAlignment="0" applyProtection="0"/>
  </cellStyleXfs>
  <cellXfs count="21">
    <xf numFmtId="0" fontId="0" fillId="0" borderId="0" xfId="0"/>
    <xf numFmtId="0" fontId="1" fillId="0" borderId="1" xfId="0" applyFont="1" applyBorder="1" applyAlignment="1">
      <alignment horizontal="center" vertical="top"/>
    </xf>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xf>
    <xf numFmtId="0" fontId="0" fillId="0" borderId="0" xfId="0" applyAlignment="1">
      <alignment horizontal="center"/>
    </xf>
    <xf numFmtId="0" fontId="0" fillId="3" borderId="0" xfId="0" applyFill="1" applyAlignment="1">
      <alignment vertical="center"/>
    </xf>
    <xf numFmtId="0" fontId="0" fillId="3" borderId="0" xfId="0" applyFill="1" applyAlignment="1">
      <alignment vertical="center" wrapText="1"/>
    </xf>
    <xf numFmtId="0" fontId="0" fillId="3" borderId="0" xfId="0" applyFill="1" applyAlignment="1">
      <alignment horizontal="center" vertical="center"/>
    </xf>
    <xf numFmtId="0" fontId="0" fillId="4" borderId="0" xfId="0" applyFill="1" applyAlignment="1">
      <alignment vertical="center"/>
    </xf>
    <xf numFmtId="0" fontId="0" fillId="4" borderId="0" xfId="0" applyFill="1" applyAlignment="1">
      <alignment vertical="center" wrapText="1"/>
    </xf>
    <xf numFmtId="0" fontId="0" fillId="4" borderId="0" xfId="0" applyFill="1" applyAlignment="1">
      <alignment horizontal="center" vertical="center"/>
    </xf>
    <xf numFmtId="0" fontId="1" fillId="0" borderId="2" xfId="0" applyFont="1" applyBorder="1" applyAlignment="1">
      <alignment horizontal="center" vertical="top"/>
    </xf>
    <xf numFmtId="0" fontId="1" fillId="0" borderId="2" xfId="0" applyFont="1" applyFill="1" applyBorder="1" applyAlignment="1">
      <alignment horizontal="center" vertical="top"/>
    </xf>
    <xf numFmtId="0" fontId="0" fillId="0" borderId="3" xfId="0" applyBorder="1"/>
    <xf numFmtId="0" fontId="2" fillId="2" borderId="0" xfId="1" applyAlignment="1">
      <alignment horizontal="center" vertical="center"/>
    </xf>
    <xf numFmtId="0" fontId="0" fillId="3" borderId="0" xfId="0" applyFill="1" applyAlignment="1">
      <alignment horizontal="left" vertical="center"/>
    </xf>
    <xf numFmtId="0" fontId="0" fillId="4" borderId="0" xfId="0" applyFill="1" applyAlignment="1">
      <alignment horizontal="left" vertical="center"/>
    </xf>
    <xf numFmtId="0" fontId="0" fillId="0" borderId="0" xfId="0" applyAlignment="1">
      <alignment horizontal="left" vertical="center"/>
    </xf>
    <xf numFmtId="0" fontId="0" fillId="0" borderId="0" xfId="0" applyAlignment="1">
      <alignment horizontal="left"/>
    </xf>
    <xf numFmtId="0" fontId="0" fillId="0" borderId="0" xfId="0" applyAlignment="1">
      <alignment horizontal="left" vertical="center" wrapText="1"/>
    </xf>
  </cellXfs>
  <cellStyles count="2">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62"/>
  <sheetViews>
    <sheetView tabSelected="1" topLeftCell="I5" workbookViewId="0">
      <selection activeCell="P9" sqref="P9"/>
    </sheetView>
  </sheetViews>
  <sheetFormatPr defaultColWidth="20.140625" defaultRowHeight="15" x14ac:dyDescent="0.25"/>
  <cols>
    <col min="1" max="1" width="41.140625" bestFit="1" customWidth="1"/>
    <col min="3" max="7" width="23.42578125" customWidth="1"/>
    <col min="8" max="8" width="106" customWidth="1"/>
    <col min="9" max="9" width="48.85546875" bestFit="1" customWidth="1"/>
    <col min="10" max="10" width="57.7109375" customWidth="1"/>
    <col min="11" max="11" width="34.5703125" customWidth="1"/>
    <col min="12" max="15" width="20.140625" style="5"/>
    <col min="16" max="16" width="52.140625" style="19" bestFit="1" customWidth="1"/>
  </cols>
  <sheetData>
    <row r="1" spans="1:16" s="14" customFormat="1" x14ac:dyDescent="0.25">
      <c r="A1" s="1" t="s">
        <v>0</v>
      </c>
      <c r="B1" s="1" t="s">
        <v>1</v>
      </c>
      <c r="C1" s="1" t="s">
        <v>2</v>
      </c>
      <c r="D1" s="1" t="s">
        <v>3</v>
      </c>
      <c r="E1" s="1" t="s">
        <v>4</v>
      </c>
      <c r="F1" s="1" t="s">
        <v>167</v>
      </c>
      <c r="G1" s="1" t="s">
        <v>168</v>
      </c>
      <c r="H1" s="1" t="s">
        <v>72</v>
      </c>
      <c r="I1" s="1" t="s">
        <v>57</v>
      </c>
      <c r="J1" s="12" t="s">
        <v>98</v>
      </c>
      <c r="K1" s="12" t="s">
        <v>99</v>
      </c>
      <c r="L1" s="13" t="s">
        <v>61</v>
      </c>
      <c r="M1" s="13" t="s">
        <v>60</v>
      </c>
      <c r="N1" s="13" t="s">
        <v>176</v>
      </c>
      <c r="O1" s="13" t="s">
        <v>177</v>
      </c>
      <c r="P1" s="13" t="s">
        <v>180</v>
      </c>
    </row>
    <row r="2" spans="1:16" s="2" customFormat="1" ht="90" x14ac:dyDescent="0.25">
      <c r="A2" s="6" t="s">
        <v>33</v>
      </c>
      <c r="B2" s="6" t="s">
        <v>53</v>
      </c>
      <c r="C2" s="6">
        <v>137894</v>
      </c>
      <c r="D2" s="6">
        <v>1342</v>
      </c>
      <c r="E2" s="6">
        <v>99.03</v>
      </c>
      <c r="F2" s="6"/>
      <c r="G2" s="6" t="s">
        <v>169</v>
      </c>
      <c r="H2" s="7" t="s">
        <v>73</v>
      </c>
      <c r="I2" s="7" t="s">
        <v>71</v>
      </c>
      <c r="J2" s="7" t="s">
        <v>74</v>
      </c>
      <c r="K2" s="7"/>
      <c r="L2" s="8">
        <v>0</v>
      </c>
      <c r="M2" s="8">
        <v>4</v>
      </c>
      <c r="N2" s="8" t="s">
        <v>175</v>
      </c>
      <c r="O2" s="15" t="s">
        <v>179</v>
      </c>
      <c r="P2" s="16" t="s">
        <v>183</v>
      </c>
    </row>
    <row r="3" spans="1:16" s="2" customFormat="1" ht="90" x14ac:dyDescent="0.25">
      <c r="A3" s="6" t="s">
        <v>36</v>
      </c>
      <c r="B3" s="6" t="s">
        <v>53</v>
      </c>
      <c r="C3" s="6">
        <v>137840</v>
      </c>
      <c r="D3" s="6">
        <v>1396</v>
      </c>
      <c r="E3" s="6">
        <v>98.99</v>
      </c>
      <c r="F3" s="6"/>
      <c r="G3" s="6" t="s">
        <v>169</v>
      </c>
      <c r="H3" s="7" t="s">
        <v>76</v>
      </c>
      <c r="I3" s="7" t="s">
        <v>125</v>
      </c>
      <c r="J3" s="7" t="s">
        <v>75</v>
      </c>
      <c r="K3" s="7"/>
      <c r="L3" s="8">
        <v>0</v>
      </c>
      <c r="M3" s="8">
        <v>4</v>
      </c>
      <c r="N3" s="8" t="s">
        <v>175</v>
      </c>
      <c r="O3" s="15" t="s">
        <v>179</v>
      </c>
      <c r="P3" s="16" t="s">
        <v>183</v>
      </c>
    </row>
    <row r="4" spans="1:16" s="2" customFormat="1" ht="90" x14ac:dyDescent="0.25">
      <c r="A4" s="6" t="s">
        <v>37</v>
      </c>
      <c r="B4" s="6" t="s">
        <v>53</v>
      </c>
      <c r="C4" s="6">
        <v>137821</v>
      </c>
      <c r="D4" s="6">
        <v>1415</v>
      </c>
      <c r="E4" s="6">
        <v>98.97</v>
      </c>
      <c r="F4" s="6"/>
      <c r="G4" s="6" t="s">
        <v>169</v>
      </c>
      <c r="H4" s="7" t="s">
        <v>77</v>
      </c>
      <c r="I4" s="7" t="s">
        <v>126</v>
      </c>
      <c r="J4" s="7" t="s">
        <v>74</v>
      </c>
      <c r="K4" s="7"/>
      <c r="L4" s="8">
        <v>0</v>
      </c>
      <c r="M4" s="8">
        <v>4</v>
      </c>
      <c r="N4" s="8" t="s">
        <v>175</v>
      </c>
      <c r="O4" s="15" t="s">
        <v>179</v>
      </c>
      <c r="P4" s="16" t="s">
        <v>183</v>
      </c>
    </row>
    <row r="5" spans="1:16" s="2" customFormat="1" ht="90" x14ac:dyDescent="0.25">
      <c r="A5" s="6" t="s">
        <v>30</v>
      </c>
      <c r="B5" s="6" t="s">
        <v>53</v>
      </c>
      <c r="C5" s="6">
        <v>137932</v>
      </c>
      <c r="D5" s="6">
        <v>1304</v>
      </c>
      <c r="E5" s="6">
        <v>99.05</v>
      </c>
      <c r="F5" s="6"/>
      <c r="G5" s="6" t="s">
        <v>169</v>
      </c>
      <c r="H5" s="7" t="s">
        <v>78</v>
      </c>
      <c r="I5" s="7" t="s">
        <v>127</v>
      </c>
      <c r="J5" s="7" t="s">
        <v>79</v>
      </c>
      <c r="K5" s="7"/>
      <c r="L5" s="8">
        <v>0</v>
      </c>
      <c r="M5" s="8">
        <v>4</v>
      </c>
      <c r="N5" s="8" t="s">
        <v>175</v>
      </c>
      <c r="O5" s="15" t="s">
        <v>179</v>
      </c>
      <c r="P5" s="16" t="s">
        <v>183</v>
      </c>
    </row>
    <row r="6" spans="1:16" s="2" customFormat="1" ht="90" x14ac:dyDescent="0.25">
      <c r="A6" s="6" t="s">
        <v>27</v>
      </c>
      <c r="B6" s="6" t="s">
        <v>53</v>
      </c>
      <c r="C6" s="6">
        <v>139038</v>
      </c>
      <c r="D6" s="6">
        <v>198</v>
      </c>
      <c r="E6" s="6">
        <v>99.86</v>
      </c>
      <c r="F6" s="6"/>
      <c r="G6" s="6" t="s">
        <v>169</v>
      </c>
      <c r="H6" s="7" t="s">
        <v>80</v>
      </c>
      <c r="I6" s="7" t="s">
        <v>128</v>
      </c>
      <c r="J6" s="7" t="s">
        <v>81</v>
      </c>
      <c r="K6" s="7"/>
      <c r="L6" s="8">
        <v>0</v>
      </c>
      <c r="M6" s="8">
        <v>4</v>
      </c>
      <c r="N6" s="8" t="s">
        <v>175</v>
      </c>
      <c r="O6" s="15" t="s">
        <v>179</v>
      </c>
      <c r="P6" s="16" t="s">
        <v>183</v>
      </c>
    </row>
    <row r="7" spans="1:16" s="2" customFormat="1" ht="90" x14ac:dyDescent="0.25">
      <c r="A7" s="6" t="s">
        <v>47</v>
      </c>
      <c r="B7" s="6" t="s">
        <v>53</v>
      </c>
      <c r="C7" s="6">
        <v>133719</v>
      </c>
      <c r="D7" s="6">
        <v>5517</v>
      </c>
      <c r="E7" s="6">
        <v>95.87</v>
      </c>
      <c r="F7" s="6"/>
      <c r="G7" s="6" t="s">
        <v>170</v>
      </c>
      <c r="H7" s="7" t="s">
        <v>82</v>
      </c>
      <c r="I7" s="7" t="s">
        <v>129</v>
      </c>
      <c r="J7" s="6" t="s">
        <v>83</v>
      </c>
      <c r="K7" s="6"/>
      <c r="L7" s="8">
        <v>0</v>
      </c>
      <c r="M7" s="8">
        <v>48</v>
      </c>
      <c r="N7" s="8"/>
      <c r="O7" s="15" t="s">
        <v>179</v>
      </c>
      <c r="P7" s="16" t="s">
        <v>183</v>
      </c>
    </row>
    <row r="8" spans="1:16" s="2" customFormat="1" ht="30" x14ac:dyDescent="0.25">
      <c r="A8" s="9" t="s">
        <v>23</v>
      </c>
      <c r="B8" s="9" t="s">
        <v>54</v>
      </c>
      <c r="C8" s="9">
        <v>139236</v>
      </c>
      <c r="D8" s="9">
        <v>0</v>
      </c>
      <c r="E8" s="9">
        <v>100</v>
      </c>
      <c r="F8" s="9"/>
      <c r="G8" s="9" t="s">
        <v>171</v>
      </c>
      <c r="H8" s="10" t="s">
        <v>124</v>
      </c>
      <c r="I8" s="10" t="s">
        <v>58</v>
      </c>
      <c r="J8" s="10" t="s">
        <v>97</v>
      </c>
      <c r="K8" s="10" t="s">
        <v>67</v>
      </c>
      <c r="L8" s="11">
        <v>0</v>
      </c>
      <c r="M8" s="11">
        <v>1</v>
      </c>
      <c r="N8" s="11"/>
      <c r="O8" s="15" t="s">
        <v>178</v>
      </c>
      <c r="P8" s="17" t="s">
        <v>182</v>
      </c>
    </row>
    <row r="9" spans="1:16" s="2" customFormat="1" ht="30" x14ac:dyDescent="0.25">
      <c r="A9" s="9" t="s">
        <v>15</v>
      </c>
      <c r="B9" s="9" t="s">
        <v>54</v>
      </c>
      <c r="C9" s="9">
        <v>139236</v>
      </c>
      <c r="D9" s="9">
        <v>0</v>
      </c>
      <c r="E9" s="9">
        <v>100</v>
      </c>
      <c r="F9" s="9"/>
      <c r="G9" s="9" t="s">
        <v>171</v>
      </c>
      <c r="H9" s="10" t="s">
        <v>117</v>
      </c>
      <c r="I9" s="10" t="s">
        <v>62</v>
      </c>
      <c r="J9" s="10" t="s">
        <v>97</v>
      </c>
      <c r="K9" s="10" t="s">
        <v>67</v>
      </c>
      <c r="L9" s="11">
        <v>0</v>
      </c>
      <c r="M9" s="11">
        <v>1</v>
      </c>
      <c r="N9" s="11"/>
      <c r="O9" s="15" t="s">
        <v>178</v>
      </c>
      <c r="P9" s="17" t="s">
        <v>182</v>
      </c>
    </row>
    <row r="10" spans="1:16" s="2" customFormat="1" ht="30" x14ac:dyDescent="0.25">
      <c r="A10" s="9" t="s">
        <v>12</v>
      </c>
      <c r="B10" s="9" t="s">
        <v>54</v>
      </c>
      <c r="C10" s="9">
        <v>139236</v>
      </c>
      <c r="D10" s="9">
        <v>0</v>
      </c>
      <c r="E10" s="9">
        <v>100</v>
      </c>
      <c r="F10" s="9"/>
      <c r="G10" s="9" t="s">
        <v>171</v>
      </c>
      <c r="H10" s="10" t="s">
        <v>118</v>
      </c>
      <c r="I10" s="10" t="s">
        <v>100</v>
      </c>
      <c r="J10" s="10" t="s">
        <v>97</v>
      </c>
      <c r="K10" s="10" t="s">
        <v>67</v>
      </c>
      <c r="L10" s="11">
        <v>0</v>
      </c>
      <c r="M10" s="11">
        <v>1</v>
      </c>
      <c r="N10" s="11"/>
      <c r="O10" s="15" t="s">
        <v>178</v>
      </c>
      <c r="P10" s="17" t="s">
        <v>182</v>
      </c>
    </row>
    <row r="11" spans="1:16" s="2" customFormat="1" ht="30" x14ac:dyDescent="0.25">
      <c r="A11" s="9" t="s">
        <v>14</v>
      </c>
      <c r="B11" s="9" t="s">
        <v>54</v>
      </c>
      <c r="C11" s="9">
        <v>139236</v>
      </c>
      <c r="D11" s="9">
        <v>0</v>
      </c>
      <c r="E11" s="9">
        <v>100</v>
      </c>
      <c r="F11" s="9"/>
      <c r="G11" s="9" t="s">
        <v>171</v>
      </c>
      <c r="H11" s="10" t="s">
        <v>119</v>
      </c>
      <c r="I11" s="10" t="s">
        <v>63</v>
      </c>
      <c r="J11" s="10" t="s">
        <v>97</v>
      </c>
      <c r="K11" s="10" t="s">
        <v>67</v>
      </c>
      <c r="L11" s="11">
        <v>0</v>
      </c>
      <c r="M11" s="11">
        <v>1</v>
      </c>
      <c r="N11" s="11"/>
      <c r="O11" s="15" t="s">
        <v>178</v>
      </c>
      <c r="P11" s="17" t="s">
        <v>182</v>
      </c>
    </row>
    <row r="12" spans="1:16" s="2" customFormat="1" ht="30" x14ac:dyDescent="0.25">
      <c r="A12" s="9" t="s">
        <v>19</v>
      </c>
      <c r="B12" s="9" t="s">
        <v>54</v>
      </c>
      <c r="C12" s="9">
        <v>139236</v>
      </c>
      <c r="D12" s="9">
        <v>0</v>
      </c>
      <c r="E12" s="9">
        <v>100</v>
      </c>
      <c r="F12" s="9"/>
      <c r="G12" s="9" t="s">
        <v>171</v>
      </c>
      <c r="H12" s="10" t="s">
        <v>120</v>
      </c>
      <c r="I12" s="10" t="s">
        <v>64</v>
      </c>
      <c r="J12" s="10" t="s">
        <v>97</v>
      </c>
      <c r="K12" s="10" t="s">
        <v>67</v>
      </c>
      <c r="L12" s="11">
        <v>0</v>
      </c>
      <c r="M12" s="11">
        <v>1</v>
      </c>
      <c r="N12" s="11"/>
      <c r="O12" s="15" t="s">
        <v>178</v>
      </c>
      <c r="P12" s="17" t="s">
        <v>182</v>
      </c>
    </row>
    <row r="13" spans="1:16" s="2" customFormat="1" ht="30" x14ac:dyDescent="0.25">
      <c r="A13" s="9" t="s">
        <v>13</v>
      </c>
      <c r="B13" s="9" t="s">
        <v>54</v>
      </c>
      <c r="C13" s="9">
        <v>139236</v>
      </c>
      <c r="D13" s="9">
        <v>0</v>
      </c>
      <c r="E13" s="9">
        <v>100</v>
      </c>
      <c r="F13" s="9"/>
      <c r="G13" s="9" t="s">
        <v>171</v>
      </c>
      <c r="H13" s="10" t="s">
        <v>121</v>
      </c>
      <c r="I13" s="10" t="s">
        <v>68</v>
      </c>
      <c r="J13" s="10" t="s">
        <v>97</v>
      </c>
      <c r="K13" s="10" t="s">
        <v>67</v>
      </c>
      <c r="L13" s="11">
        <v>0</v>
      </c>
      <c r="M13" s="11">
        <v>1</v>
      </c>
      <c r="N13" s="11"/>
      <c r="O13" s="15" t="s">
        <v>178</v>
      </c>
      <c r="P13" s="17" t="s">
        <v>182</v>
      </c>
    </row>
    <row r="14" spans="1:16" s="2" customFormat="1" ht="30" x14ac:dyDescent="0.25">
      <c r="A14" s="9" t="s">
        <v>10</v>
      </c>
      <c r="B14" s="9" t="s">
        <v>54</v>
      </c>
      <c r="C14" s="9">
        <v>139236</v>
      </c>
      <c r="D14" s="9">
        <v>0</v>
      </c>
      <c r="E14" s="9">
        <v>100</v>
      </c>
      <c r="F14" s="9"/>
      <c r="G14" s="9" t="s">
        <v>171</v>
      </c>
      <c r="H14" s="10" t="s">
        <v>122</v>
      </c>
      <c r="I14" s="10" t="s">
        <v>69</v>
      </c>
      <c r="J14" s="10" t="s">
        <v>97</v>
      </c>
      <c r="K14" s="10" t="s">
        <v>67</v>
      </c>
      <c r="L14" s="11">
        <v>0</v>
      </c>
      <c r="M14" s="11">
        <v>1</v>
      </c>
      <c r="N14" s="11"/>
      <c r="O14" s="15" t="s">
        <v>178</v>
      </c>
      <c r="P14" s="17" t="s">
        <v>182</v>
      </c>
    </row>
    <row r="15" spans="1:16" s="2" customFormat="1" ht="30" x14ac:dyDescent="0.25">
      <c r="A15" s="9" t="s">
        <v>18</v>
      </c>
      <c r="B15" s="9" t="s">
        <v>54</v>
      </c>
      <c r="C15" s="9">
        <v>139236</v>
      </c>
      <c r="D15" s="9">
        <v>0</v>
      </c>
      <c r="E15" s="9">
        <v>100</v>
      </c>
      <c r="F15" s="9"/>
      <c r="G15" s="9" t="s">
        <v>171</v>
      </c>
      <c r="H15" s="10" t="s">
        <v>123</v>
      </c>
      <c r="I15" s="10" t="s">
        <v>70</v>
      </c>
      <c r="J15" s="10" t="s">
        <v>97</v>
      </c>
      <c r="K15" s="10" t="s">
        <v>67</v>
      </c>
      <c r="L15" s="11">
        <v>0</v>
      </c>
      <c r="M15" s="11">
        <v>1</v>
      </c>
      <c r="N15" s="11"/>
      <c r="O15" s="15" t="s">
        <v>178</v>
      </c>
      <c r="P15" s="17" t="s">
        <v>182</v>
      </c>
    </row>
    <row r="16" spans="1:16" s="2" customFormat="1" ht="30" x14ac:dyDescent="0.25">
      <c r="A16" s="9" t="s">
        <v>16</v>
      </c>
      <c r="B16" s="9" t="s">
        <v>54</v>
      </c>
      <c r="C16" s="9">
        <v>139236</v>
      </c>
      <c r="D16" s="9">
        <v>0</v>
      </c>
      <c r="E16" s="9">
        <v>100</v>
      </c>
      <c r="F16" s="9"/>
      <c r="G16" s="9" t="s">
        <v>171</v>
      </c>
      <c r="H16" s="10" t="s">
        <v>95</v>
      </c>
      <c r="I16" s="10" t="s">
        <v>130</v>
      </c>
      <c r="J16" s="10" t="s">
        <v>97</v>
      </c>
      <c r="K16" s="10" t="s">
        <v>67</v>
      </c>
      <c r="L16" s="11">
        <v>0</v>
      </c>
      <c r="M16" s="11">
        <v>1</v>
      </c>
      <c r="N16" s="11"/>
      <c r="O16" s="15" t="s">
        <v>178</v>
      </c>
      <c r="P16" s="17" t="s">
        <v>182</v>
      </c>
    </row>
    <row r="17" spans="1:16" s="2" customFormat="1" ht="30" x14ac:dyDescent="0.25">
      <c r="A17" s="9" t="s">
        <v>20</v>
      </c>
      <c r="B17" s="9" t="s">
        <v>54</v>
      </c>
      <c r="C17" s="9">
        <v>139236</v>
      </c>
      <c r="D17" s="9">
        <v>0</v>
      </c>
      <c r="E17" s="9">
        <v>100</v>
      </c>
      <c r="F17" s="9"/>
      <c r="G17" s="9" t="s">
        <v>171</v>
      </c>
      <c r="H17" s="10" t="s">
        <v>96</v>
      </c>
      <c r="I17" s="10" t="s">
        <v>131</v>
      </c>
      <c r="J17" s="10" t="s">
        <v>97</v>
      </c>
      <c r="K17" s="10" t="s">
        <v>67</v>
      </c>
      <c r="L17" s="11">
        <v>0</v>
      </c>
      <c r="M17" s="11">
        <v>1</v>
      </c>
      <c r="N17" s="11"/>
      <c r="O17" s="15" t="s">
        <v>178</v>
      </c>
      <c r="P17" s="17" t="s">
        <v>182</v>
      </c>
    </row>
    <row r="18" spans="1:16" s="2" customFormat="1" ht="30" x14ac:dyDescent="0.25">
      <c r="A18" s="9" t="s">
        <v>17</v>
      </c>
      <c r="B18" s="9" t="s">
        <v>54</v>
      </c>
      <c r="C18" s="9">
        <v>139236</v>
      </c>
      <c r="D18" s="9">
        <v>0</v>
      </c>
      <c r="E18" s="9">
        <v>100</v>
      </c>
      <c r="F18" s="9"/>
      <c r="G18" s="9" t="s">
        <v>171</v>
      </c>
      <c r="H18" s="10" t="s">
        <v>101</v>
      </c>
      <c r="I18" s="10" t="s">
        <v>132</v>
      </c>
      <c r="J18" s="10" t="s">
        <v>97</v>
      </c>
      <c r="K18" s="10" t="s">
        <v>67</v>
      </c>
      <c r="L18" s="11">
        <v>0</v>
      </c>
      <c r="M18" s="11">
        <v>1</v>
      </c>
      <c r="N18" s="11"/>
      <c r="O18" s="15" t="s">
        <v>178</v>
      </c>
      <c r="P18" s="17" t="s">
        <v>182</v>
      </c>
    </row>
    <row r="19" spans="1:16" s="2" customFormat="1" ht="30" x14ac:dyDescent="0.25">
      <c r="A19" s="9" t="s">
        <v>11</v>
      </c>
      <c r="B19" s="9" t="s">
        <v>54</v>
      </c>
      <c r="C19" s="9">
        <v>139236</v>
      </c>
      <c r="D19" s="9">
        <v>0</v>
      </c>
      <c r="E19" s="9">
        <v>100</v>
      </c>
      <c r="F19" s="9"/>
      <c r="G19" s="9" t="s">
        <v>171</v>
      </c>
      <c r="H19" s="10" t="s">
        <v>116</v>
      </c>
      <c r="I19" s="10" t="s">
        <v>133</v>
      </c>
      <c r="J19" s="10" t="s">
        <v>97</v>
      </c>
      <c r="K19" s="10" t="s">
        <v>67</v>
      </c>
      <c r="L19" s="11">
        <v>0</v>
      </c>
      <c r="M19" s="11">
        <v>1</v>
      </c>
      <c r="N19" s="11"/>
      <c r="O19" s="15" t="s">
        <v>178</v>
      </c>
      <c r="P19" s="17" t="s">
        <v>182</v>
      </c>
    </row>
    <row r="20" spans="1:16" s="2" customFormat="1" ht="105" x14ac:dyDescent="0.25">
      <c r="A20" s="2" t="s">
        <v>52</v>
      </c>
      <c r="B20" s="2" t="s">
        <v>53</v>
      </c>
      <c r="C20" s="2">
        <v>129834</v>
      </c>
      <c r="D20" s="2">
        <v>9402</v>
      </c>
      <c r="E20" s="2">
        <v>92.76</v>
      </c>
      <c r="G20" s="2" t="s">
        <v>172</v>
      </c>
      <c r="H20" s="2" t="s">
        <v>162</v>
      </c>
      <c r="I20" s="3" t="s">
        <v>59</v>
      </c>
      <c r="J20" s="3"/>
      <c r="K20" s="3"/>
      <c r="L20" s="4"/>
      <c r="M20" s="4"/>
      <c r="N20" s="4"/>
      <c r="O20" s="15" t="s">
        <v>178</v>
      </c>
      <c r="P20" s="18" t="s">
        <v>181</v>
      </c>
    </row>
    <row r="21" spans="1:16" s="2" customFormat="1" ht="60" x14ac:dyDescent="0.25">
      <c r="A21" s="2" t="s">
        <v>51</v>
      </c>
      <c r="B21" s="2" t="s">
        <v>53</v>
      </c>
      <c r="C21" s="2">
        <v>129834</v>
      </c>
      <c r="D21" s="2">
        <v>9402</v>
      </c>
      <c r="E21" s="2">
        <v>92.76</v>
      </c>
      <c r="G21" s="2" t="s">
        <v>171</v>
      </c>
      <c r="H21" s="2" t="s">
        <v>163</v>
      </c>
      <c r="I21" s="3" t="s">
        <v>65</v>
      </c>
      <c r="J21" s="3" t="s">
        <v>66</v>
      </c>
      <c r="K21" s="3"/>
      <c r="L21" s="4"/>
      <c r="M21" s="4"/>
      <c r="N21" s="4"/>
      <c r="O21" s="15" t="s">
        <v>178</v>
      </c>
      <c r="P21" s="20" t="s">
        <v>184</v>
      </c>
    </row>
    <row r="22" spans="1:16" s="2" customFormat="1" x14ac:dyDescent="0.25">
      <c r="A22" s="2" t="s">
        <v>46</v>
      </c>
      <c r="B22" s="2" t="s">
        <v>56</v>
      </c>
      <c r="C22" s="2">
        <v>133855</v>
      </c>
      <c r="D22" s="2">
        <v>5381</v>
      </c>
      <c r="E22" s="2">
        <v>95.98</v>
      </c>
      <c r="I22" s="3"/>
      <c r="J22" s="3"/>
      <c r="K22" s="3"/>
      <c r="L22" s="4"/>
      <c r="M22" s="4"/>
      <c r="N22" s="4"/>
      <c r="O22" s="4"/>
      <c r="P22" s="18"/>
    </row>
    <row r="23" spans="1:16" s="2" customFormat="1" ht="90" x14ac:dyDescent="0.25">
      <c r="A23" s="2" t="s">
        <v>31</v>
      </c>
      <c r="B23" s="2" t="s">
        <v>53</v>
      </c>
      <c r="C23" s="2">
        <v>137893</v>
      </c>
      <c r="D23" s="2">
        <v>1343</v>
      </c>
      <c r="E23" s="2">
        <v>99.03</v>
      </c>
      <c r="G23" s="2" t="s">
        <v>169</v>
      </c>
      <c r="H23" s="3" t="s">
        <v>84</v>
      </c>
      <c r="J23" s="3" t="s">
        <v>75</v>
      </c>
      <c r="K23" s="3"/>
      <c r="L23" s="4">
        <v>0</v>
      </c>
      <c r="M23" s="4">
        <v>4</v>
      </c>
      <c r="N23" s="4" t="s">
        <v>175</v>
      </c>
      <c r="O23" s="4"/>
      <c r="P23" s="18" t="s">
        <v>183</v>
      </c>
    </row>
    <row r="24" spans="1:16" s="2" customFormat="1" ht="90" x14ac:dyDescent="0.25">
      <c r="A24" s="2" t="s">
        <v>32</v>
      </c>
      <c r="B24" s="2" t="s">
        <v>53</v>
      </c>
      <c r="C24" s="2">
        <v>137898</v>
      </c>
      <c r="D24" s="2">
        <v>1338</v>
      </c>
      <c r="E24" s="2">
        <v>99.03</v>
      </c>
      <c r="G24" s="2" t="s">
        <v>169</v>
      </c>
      <c r="H24" s="3" t="s">
        <v>85</v>
      </c>
      <c r="J24" s="3" t="s">
        <v>75</v>
      </c>
      <c r="K24" s="3"/>
      <c r="L24" s="4">
        <v>0</v>
      </c>
      <c r="M24" s="4">
        <v>4</v>
      </c>
      <c r="N24" s="4" t="s">
        <v>175</v>
      </c>
      <c r="O24" s="4"/>
      <c r="P24" s="18" t="s">
        <v>183</v>
      </c>
    </row>
    <row r="25" spans="1:16" s="2" customFormat="1" ht="90" x14ac:dyDescent="0.25">
      <c r="A25" s="2" t="s">
        <v>38</v>
      </c>
      <c r="B25" s="2" t="s">
        <v>53</v>
      </c>
      <c r="C25" s="2">
        <v>137783</v>
      </c>
      <c r="D25" s="2">
        <v>1453</v>
      </c>
      <c r="E25" s="2">
        <v>98.95</v>
      </c>
      <c r="G25" s="2" t="s">
        <v>169</v>
      </c>
      <c r="H25" s="3" t="s">
        <v>86</v>
      </c>
      <c r="J25" s="3" t="s">
        <v>87</v>
      </c>
      <c r="K25" s="3"/>
      <c r="L25" s="4">
        <v>0</v>
      </c>
      <c r="M25" s="4">
        <v>4</v>
      </c>
      <c r="N25" s="4" t="s">
        <v>175</v>
      </c>
      <c r="O25" s="4"/>
      <c r="P25" s="18" t="s">
        <v>183</v>
      </c>
    </row>
    <row r="26" spans="1:16" s="2" customFormat="1" ht="90" x14ac:dyDescent="0.25">
      <c r="A26" s="2" t="s">
        <v>34</v>
      </c>
      <c r="B26" s="2" t="s">
        <v>53</v>
      </c>
      <c r="C26" s="2">
        <v>137886</v>
      </c>
      <c r="D26" s="2">
        <v>1350</v>
      </c>
      <c r="E26" s="2">
        <v>99.02</v>
      </c>
      <c r="G26" s="2" t="s">
        <v>169</v>
      </c>
      <c r="H26" s="3" t="s">
        <v>88</v>
      </c>
      <c r="J26" s="3" t="s">
        <v>89</v>
      </c>
      <c r="K26" s="3"/>
      <c r="L26" s="4">
        <v>0</v>
      </c>
      <c r="M26" s="4">
        <v>4</v>
      </c>
      <c r="N26" s="4" t="s">
        <v>175</v>
      </c>
      <c r="O26" s="4"/>
      <c r="P26" s="18" t="s">
        <v>183</v>
      </c>
    </row>
    <row r="27" spans="1:16" s="2" customFormat="1" ht="90" x14ac:dyDescent="0.25">
      <c r="A27" s="2" t="s">
        <v>39</v>
      </c>
      <c r="B27" s="2" t="s">
        <v>53</v>
      </c>
      <c r="C27" s="2">
        <v>137793</v>
      </c>
      <c r="D27" s="2">
        <v>1443</v>
      </c>
      <c r="E27" s="2">
        <v>98.95</v>
      </c>
      <c r="G27" s="2" t="s">
        <v>169</v>
      </c>
      <c r="H27" s="3" t="s">
        <v>90</v>
      </c>
      <c r="J27" s="3" t="s">
        <v>91</v>
      </c>
      <c r="K27" s="3"/>
      <c r="L27" s="4">
        <v>0</v>
      </c>
      <c r="M27" s="4">
        <v>4</v>
      </c>
      <c r="N27" s="4" t="s">
        <v>175</v>
      </c>
      <c r="O27" s="4"/>
      <c r="P27" s="18" t="s">
        <v>183</v>
      </c>
    </row>
    <row r="28" spans="1:16" s="2" customFormat="1" ht="90" x14ac:dyDescent="0.25">
      <c r="A28" s="2" t="s">
        <v>26</v>
      </c>
      <c r="B28" s="2" t="s">
        <v>53</v>
      </c>
      <c r="C28" s="2">
        <v>139111</v>
      </c>
      <c r="D28" s="2">
        <v>125</v>
      </c>
      <c r="E28" s="2">
        <v>99.91</v>
      </c>
      <c r="G28" s="2" t="s">
        <v>169</v>
      </c>
      <c r="H28" s="3" t="s">
        <v>92</v>
      </c>
      <c r="J28" s="3" t="s">
        <v>89</v>
      </c>
      <c r="K28" s="3"/>
      <c r="L28" s="4">
        <v>0</v>
      </c>
      <c r="M28" s="4">
        <v>4</v>
      </c>
      <c r="N28" s="4" t="s">
        <v>175</v>
      </c>
      <c r="O28" s="4"/>
      <c r="P28" s="18" t="s">
        <v>183</v>
      </c>
    </row>
    <row r="29" spans="1:16" s="2" customFormat="1" ht="90" x14ac:dyDescent="0.25">
      <c r="A29" s="2" t="s">
        <v>35</v>
      </c>
      <c r="B29" s="2" t="s">
        <v>53</v>
      </c>
      <c r="C29" s="2">
        <v>137880</v>
      </c>
      <c r="D29" s="2">
        <v>1356</v>
      </c>
      <c r="E29" s="2">
        <v>99.02</v>
      </c>
      <c r="G29" s="2" t="s">
        <v>169</v>
      </c>
      <c r="H29" s="3" t="s">
        <v>93</v>
      </c>
      <c r="J29" s="3" t="s">
        <v>94</v>
      </c>
      <c r="K29" s="3"/>
      <c r="L29" s="4">
        <v>0</v>
      </c>
      <c r="M29" s="4">
        <v>4</v>
      </c>
      <c r="N29" s="4" t="s">
        <v>175</v>
      </c>
      <c r="O29" s="4"/>
      <c r="P29" s="18" t="s">
        <v>183</v>
      </c>
    </row>
    <row r="30" spans="1:16" s="2" customFormat="1" x14ac:dyDescent="0.25">
      <c r="A30" s="2" t="s">
        <v>24</v>
      </c>
      <c r="B30" s="2" t="s">
        <v>53</v>
      </c>
      <c r="C30" s="2">
        <v>139211</v>
      </c>
      <c r="D30" s="2">
        <v>25</v>
      </c>
      <c r="E30" s="2">
        <v>99.98</v>
      </c>
      <c r="L30" s="4"/>
      <c r="M30" s="4"/>
      <c r="N30" s="4"/>
      <c r="O30" s="4"/>
      <c r="P30" s="18"/>
    </row>
    <row r="31" spans="1:16" s="2" customFormat="1" ht="60" x14ac:dyDescent="0.25">
      <c r="A31" s="2" t="s">
        <v>21</v>
      </c>
      <c r="B31" s="2" t="s">
        <v>54</v>
      </c>
      <c r="C31" s="2">
        <v>139236</v>
      </c>
      <c r="D31" s="2">
        <v>0</v>
      </c>
      <c r="E31" s="2">
        <v>100</v>
      </c>
      <c r="G31" s="2" t="s">
        <v>170</v>
      </c>
      <c r="H31" s="3" t="s">
        <v>149</v>
      </c>
      <c r="J31" s="3" t="s">
        <v>150</v>
      </c>
      <c r="L31" s="4"/>
      <c r="M31" s="4"/>
      <c r="N31" s="4"/>
      <c r="O31" s="4"/>
      <c r="P31" s="18"/>
    </row>
    <row r="32" spans="1:16" s="2" customFormat="1" ht="60" x14ac:dyDescent="0.25">
      <c r="A32" s="2" t="s">
        <v>44</v>
      </c>
      <c r="B32" s="2" t="s">
        <v>53</v>
      </c>
      <c r="C32" s="2">
        <v>134747</v>
      </c>
      <c r="D32" s="2">
        <v>4489</v>
      </c>
      <c r="E32" s="2">
        <v>96.67</v>
      </c>
      <c r="G32" s="2" t="s">
        <v>169</v>
      </c>
      <c r="H32" s="3" t="s">
        <v>134</v>
      </c>
      <c r="I32" s="3" t="s">
        <v>136</v>
      </c>
      <c r="J32" s="3" t="s">
        <v>135</v>
      </c>
      <c r="L32" s="4">
        <v>1</v>
      </c>
      <c r="M32" s="4">
        <v>3</v>
      </c>
      <c r="N32" s="4" t="s">
        <v>174</v>
      </c>
      <c r="O32" s="4"/>
      <c r="P32" s="18" t="s">
        <v>183</v>
      </c>
    </row>
    <row r="33" spans="1:16" s="2" customFormat="1" ht="60" x14ac:dyDescent="0.25">
      <c r="A33" s="2" t="s">
        <v>45</v>
      </c>
      <c r="B33" s="2" t="s">
        <v>53</v>
      </c>
      <c r="C33" s="2">
        <v>134075</v>
      </c>
      <c r="D33" s="2">
        <v>5161</v>
      </c>
      <c r="E33" s="2">
        <v>96.15</v>
      </c>
      <c r="G33" s="2" t="s">
        <v>169</v>
      </c>
      <c r="H33" s="3" t="s">
        <v>139</v>
      </c>
      <c r="I33" s="3" t="s">
        <v>137</v>
      </c>
      <c r="J33" s="3" t="s">
        <v>138</v>
      </c>
      <c r="L33" s="4">
        <v>1</v>
      </c>
      <c r="M33" s="4">
        <v>3</v>
      </c>
      <c r="N33" s="4" t="s">
        <v>174</v>
      </c>
      <c r="O33" s="4"/>
      <c r="P33" s="18" t="s">
        <v>183</v>
      </c>
    </row>
    <row r="34" spans="1:16" s="2" customFormat="1" ht="45" x14ac:dyDescent="0.25">
      <c r="A34" s="2" t="s">
        <v>40</v>
      </c>
      <c r="B34" s="2" t="s">
        <v>55</v>
      </c>
      <c r="C34" s="2">
        <v>137725</v>
      </c>
      <c r="D34" s="2">
        <v>1511</v>
      </c>
      <c r="E34" s="2">
        <v>98.9</v>
      </c>
      <c r="G34" s="2" t="s">
        <v>172</v>
      </c>
      <c r="H34" s="3" t="s">
        <v>105</v>
      </c>
      <c r="J34" s="3" t="s">
        <v>104</v>
      </c>
      <c r="K34" s="3" t="s">
        <v>67</v>
      </c>
      <c r="L34" s="4">
        <v>0</v>
      </c>
      <c r="M34" s="4">
        <v>1</v>
      </c>
      <c r="N34" s="4"/>
      <c r="O34" s="15" t="s">
        <v>178</v>
      </c>
      <c r="P34" s="20" t="s">
        <v>185</v>
      </c>
    </row>
    <row r="35" spans="1:16" s="2" customFormat="1" ht="105" x14ac:dyDescent="0.25">
      <c r="A35" s="2" t="s">
        <v>9</v>
      </c>
      <c r="B35" s="2" t="s">
        <v>54</v>
      </c>
      <c r="C35" s="2">
        <v>139236</v>
      </c>
      <c r="D35" s="2">
        <v>0</v>
      </c>
      <c r="E35" s="2">
        <v>100</v>
      </c>
      <c r="G35" s="2" t="s">
        <v>171</v>
      </c>
      <c r="H35" s="3" t="s">
        <v>102</v>
      </c>
      <c r="J35" s="3" t="s">
        <v>103</v>
      </c>
      <c r="L35" s="4"/>
      <c r="M35" s="4"/>
      <c r="N35" s="4"/>
      <c r="O35" s="15" t="s">
        <v>178</v>
      </c>
      <c r="P35" s="20" t="s">
        <v>184</v>
      </c>
    </row>
    <row r="36" spans="1:16" s="2" customFormat="1" ht="45" x14ac:dyDescent="0.25">
      <c r="A36" s="2" t="s">
        <v>49</v>
      </c>
      <c r="B36" s="2" t="s">
        <v>53</v>
      </c>
      <c r="C36" s="2">
        <v>133329</v>
      </c>
      <c r="D36" s="2">
        <v>5907</v>
      </c>
      <c r="E36" s="2">
        <v>95.57</v>
      </c>
      <c r="G36" s="2" t="s">
        <v>172</v>
      </c>
      <c r="H36" s="3" t="s">
        <v>106</v>
      </c>
      <c r="J36" s="3" t="s">
        <v>104</v>
      </c>
      <c r="K36" s="3" t="s">
        <v>67</v>
      </c>
      <c r="L36" s="4">
        <v>0</v>
      </c>
      <c r="M36" s="4">
        <v>1</v>
      </c>
      <c r="N36" s="4"/>
      <c r="O36" s="15" t="s">
        <v>178</v>
      </c>
      <c r="P36" s="20" t="s">
        <v>185</v>
      </c>
    </row>
    <row r="37" spans="1:16" s="2" customFormat="1" ht="60" x14ac:dyDescent="0.25">
      <c r="A37" s="2" t="s">
        <v>48</v>
      </c>
      <c r="B37" s="2" t="s">
        <v>53</v>
      </c>
      <c r="C37" s="2">
        <v>133696</v>
      </c>
      <c r="D37" s="2">
        <v>5540</v>
      </c>
      <c r="E37" s="2">
        <v>95.86</v>
      </c>
      <c r="G37" s="2" t="s">
        <v>169</v>
      </c>
      <c r="H37" s="3" t="s">
        <v>147</v>
      </c>
      <c r="I37" s="3" t="s">
        <v>146</v>
      </c>
      <c r="J37" s="3" t="s">
        <v>148</v>
      </c>
      <c r="L37" s="4">
        <v>1</v>
      </c>
      <c r="M37" s="4">
        <v>3</v>
      </c>
      <c r="N37" s="4" t="s">
        <v>174</v>
      </c>
      <c r="O37" s="4"/>
      <c r="P37" s="18" t="s">
        <v>183</v>
      </c>
    </row>
    <row r="38" spans="1:16" s="2" customFormat="1" x14ac:dyDescent="0.25">
      <c r="A38" s="2" t="s">
        <v>25</v>
      </c>
      <c r="B38" s="2" t="s">
        <v>53</v>
      </c>
      <c r="C38" s="2">
        <v>139211</v>
      </c>
      <c r="D38" s="2">
        <v>25</v>
      </c>
      <c r="E38" s="2">
        <v>99.98</v>
      </c>
      <c r="L38" s="4"/>
      <c r="M38" s="4"/>
      <c r="N38" s="4"/>
      <c r="O38" s="4"/>
      <c r="P38" s="18"/>
    </row>
    <row r="39" spans="1:16" s="2" customFormat="1" ht="30" x14ac:dyDescent="0.25">
      <c r="A39" s="2" t="s">
        <v>50</v>
      </c>
      <c r="B39" s="2" t="s">
        <v>56</v>
      </c>
      <c r="C39" s="2">
        <v>131736</v>
      </c>
      <c r="D39" s="2">
        <v>7500</v>
      </c>
      <c r="E39" s="2">
        <v>94.31</v>
      </c>
      <c r="H39" s="3" t="s">
        <v>107</v>
      </c>
      <c r="J39" s="2" t="s">
        <v>108</v>
      </c>
      <c r="L39" s="4"/>
      <c r="M39" s="4"/>
      <c r="N39" s="4"/>
      <c r="O39" s="4"/>
      <c r="P39" s="18"/>
    </row>
    <row r="40" spans="1:16" s="2" customFormat="1" ht="60" x14ac:dyDescent="0.25">
      <c r="A40" s="2" t="s">
        <v>22</v>
      </c>
      <c r="B40" s="2" t="s">
        <v>54</v>
      </c>
      <c r="C40" s="2">
        <v>139236</v>
      </c>
      <c r="D40" s="2">
        <v>0</v>
      </c>
      <c r="E40" s="2">
        <v>100</v>
      </c>
      <c r="H40" s="2" t="s">
        <v>109</v>
      </c>
      <c r="J40" s="3" t="s">
        <v>110</v>
      </c>
      <c r="L40" s="4"/>
      <c r="M40" s="4"/>
      <c r="N40" s="4"/>
      <c r="O40" s="4"/>
      <c r="P40" s="18"/>
    </row>
    <row r="41" spans="1:16" s="2" customFormat="1" ht="90" x14ac:dyDescent="0.25">
      <c r="A41" s="2" t="s">
        <v>41</v>
      </c>
      <c r="B41" s="2" t="s">
        <v>53</v>
      </c>
      <c r="C41" s="2">
        <v>137149</v>
      </c>
      <c r="D41" s="2">
        <v>2087</v>
      </c>
      <c r="E41" s="2">
        <v>98.48</v>
      </c>
      <c r="G41" s="2" t="s">
        <v>171</v>
      </c>
      <c r="H41" s="3" t="s">
        <v>111</v>
      </c>
      <c r="J41" s="3" t="s">
        <v>112</v>
      </c>
      <c r="L41" s="4"/>
      <c r="M41" s="4"/>
      <c r="N41" s="4"/>
      <c r="O41" s="15" t="s">
        <v>178</v>
      </c>
      <c r="P41" s="20" t="s">
        <v>184</v>
      </c>
    </row>
    <row r="42" spans="1:16" s="2" customFormat="1" ht="60" x14ac:dyDescent="0.25">
      <c r="A42" s="2" t="s">
        <v>42</v>
      </c>
      <c r="B42" s="2" t="s">
        <v>53</v>
      </c>
      <c r="C42" s="2">
        <v>134950</v>
      </c>
      <c r="D42" s="2">
        <v>4286</v>
      </c>
      <c r="E42" s="2">
        <v>96.82</v>
      </c>
      <c r="G42" s="2" t="s">
        <v>169</v>
      </c>
      <c r="H42" s="3" t="s">
        <v>140</v>
      </c>
      <c r="I42" s="3" t="s">
        <v>141</v>
      </c>
      <c r="J42" s="3" t="s">
        <v>142</v>
      </c>
      <c r="L42" s="4"/>
      <c r="M42" s="4"/>
      <c r="N42" s="4"/>
      <c r="O42" s="4"/>
      <c r="P42" s="18" t="s">
        <v>183</v>
      </c>
    </row>
    <row r="43" spans="1:16" s="2" customFormat="1" ht="30" x14ac:dyDescent="0.25">
      <c r="A43" s="2" t="s">
        <v>28</v>
      </c>
      <c r="B43" s="2" t="s">
        <v>53</v>
      </c>
      <c r="C43" s="2">
        <v>138194</v>
      </c>
      <c r="D43" s="2">
        <v>1042</v>
      </c>
      <c r="E43" s="2">
        <v>99.25</v>
      </c>
      <c r="G43" s="2" t="s">
        <v>172</v>
      </c>
      <c r="H43" s="3" t="s">
        <v>113</v>
      </c>
      <c r="L43" s="4"/>
      <c r="M43" s="4"/>
      <c r="N43" s="4"/>
      <c r="O43" s="4"/>
      <c r="P43" s="18"/>
    </row>
    <row r="44" spans="1:16" s="2" customFormat="1" ht="75" x14ac:dyDescent="0.25">
      <c r="A44" s="2" t="s">
        <v>43</v>
      </c>
      <c r="B44" s="2" t="s">
        <v>53</v>
      </c>
      <c r="C44" s="2">
        <v>134826</v>
      </c>
      <c r="D44" s="2">
        <v>4410</v>
      </c>
      <c r="E44" s="2">
        <v>96.73</v>
      </c>
      <c r="G44" s="2" t="s">
        <v>169</v>
      </c>
      <c r="H44" s="3" t="s">
        <v>143</v>
      </c>
      <c r="I44" s="3" t="s">
        <v>145</v>
      </c>
      <c r="J44" s="3" t="s">
        <v>144</v>
      </c>
      <c r="L44" s="4"/>
      <c r="M44" s="4"/>
      <c r="N44" s="4"/>
      <c r="O44" s="4"/>
      <c r="P44" s="18" t="s">
        <v>183</v>
      </c>
    </row>
    <row r="45" spans="1:16" s="2" customFormat="1" ht="60" x14ac:dyDescent="0.25">
      <c r="A45" s="2" t="s">
        <v>29</v>
      </c>
      <c r="B45" s="2" t="s">
        <v>53</v>
      </c>
      <c r="C45" s="2">
        <v>138027</v>
      </c>
      <c r="D45" s="2">
        <v>1209</v>
      </c>
      <c r="E45" s="2">
        <v>99.12</v>
      </c>
      <c r="G45" s="2" t="s">
        <v>169</v>
      </c>
      <c r="H45" s="3" t="s">
        <v>114</v>
      </c>
      <c r="I45" s="3"/>
      <c r="J45" s="3" t="s">
        <v>115</v>
      </c>
      <c r="L45" s="4"/>
      <c r="M45" s="4"/>
      <c r="N45" s="4"/>
      <c r="O45" s="4"/>
      <c r="P45" s="18"/>
    </row>
    <row r="46" spans="1:16" s="2" customFormat="1" x14ac:dyDescent="0.25">
      <c r="A46" s="2" t="s">
        <v>6</v>
      </c>
      <c r="B46" s="2" t="s">
        <v>53</v>
      </c>
      <c r="C46" s="2">
        <v>139236</v>
      </c>
      <c r="D46" s="2">
        <v>0</v>
      </c>
      <c r="E46" s="2">
        <v>100</v>
      </c>
      <c r="G46" s="2" t="s">
        <v>171</v>
      </c>
      <c r="H46" s="2" t="s">
        <v>154</v>
      </c>
      <c r="I46" s="2" t="s">
        <v>153</v>
      </c>
      <c r="J46" s="2" t="s">
        <v>155</v>
      </c>
      <c r="L46" s="4"/>
      <c r="M46" s="4"/>
      <c r="N46" s="4"/>
      <c r="O46" s="4"/>
      <c r="P46" s="18"/>
    </row>
    <row r="47" spans="1:16" s="2" customFormat="1" ht="75" x14ac:dyDescent="0.25">
      <c r="A47" s="2" t="s">
        <v>5</v>
      </c>
      <c r="B47" s="2" t="s">
        <v>53</v>
      </c>
      <c r="C47" s="2">
        <v>139236</v>
      </c>
      <c r="D47" s="2">
        <v>0</v>
      </c>
      <c r="E47" s="2">
        <v>100</v>
      </c>
      <c r="G47" s="2" t="s">
        <v>171</v>
      </c>
      <c r="H47" s="3" t="s">
        <v>151</v>
      </c>
      <c r="J47" s="3" t="s">
        <v>152</v>
      </c>
      <c r="L47" s="4"/>
      <c r="M47" s="4"/>
      <c r="N47" s="4"/>
      <c r="O47" s="4"/>
      <c r="P47" s="18"/>
    </row>
    <row r="48" spans="1:16" s="2" customFormat="1" ht="45" x14ac:dyDescent="0.25">
      <c r="A48" s="2" t="s">
        <v>7</v>
      </c>
      <c r="B48" s="2" t="s">
        <v>54</v>
      </c>
      <c r="C48" s="2">
        <v>139236</v>
      </c>
      <c r="D48" s="2">
        <v>0</v>
      </c>
      <c r="E48" s="2">
        <v>100</v>
      </c>
      <c r="G48" s="2" t="s">
        <v>171</v>
      </c>
      <c r="H48" s="3" t="s">
        <v>157</v>
      </c>
      <c r="I48" s="3" t="s">
        <v>156</v>
      </c>
      <c r="J48" s="3" t="s">
        <v>158</v>
      </c>
      <c r="K48" s="3" t="s">
        <v>173</v>
      </c>
      <c r="L48" s="4"/>
      <c r="M48" s="4"/>
      <c r="N48" s="4"/>
      <c r="O48" s="4"/>
      <c r="P48" s="18"/>
    </row>
    <row r="49" spans="1:16" s="2" customFormat="1" ht="45" x14ac:dyDescent="0.25">
      <c r="A49" s="2" t="s">
        <v>8</v>
      </c>
      <c r="B49" s="2" t="s">
        <v>53</v>
      </c>
      <c r="C49" s="2">
        <v>139236</v>
      </c>
      <c r="D49" s="2">
        <v>0</v>
      </c>
      <c r="E49" s="2">
        <v>100</v>
      </c>
      <c r="G49" s="2" t="s">
        <v>171</v>
      </c>
      <c r="H49" s="2" t="s">
        <v>159</v>
      </c>
      <c r="I49" s="3" t="s">
        <v>160</v>
      </c>
      <c r="J49" s="2" t="s">
        <v>161</v>
      </c>
      <c r="L49" s="4"/>
      <c r="M49" s="4"/>
      <c r="N49" s="4"/>
      <c r="O49" s="4"/>
      <c r="P49" s="18"/>
    </row>
    <row r="50" spans="1:16" x14ac:dyDescent="0.25">
      <c r="A50" t="s">
        <v>164</v>
      </c>
      <c r="B50" t="s">
        <v>53</v>
      </c>
      <c r="C50">
        <v>136276</v>
      </c>
      <c r="D50">
        <v>2960</v>
      </c>
      <c r="E50">
        <v>97.83</v>
      </c>
    </row>
    <row r="51" spans="1:16" x14ac:dyDescent="0.25">
      <c r="A51" t="s">
        <v>165</v>
      </c>
      <c r="B51" t="s">
        <v>56</v>
      </c>
      <c r="C51">
        <v>124914</v>
      </c>
      <c r="D51">
        <v>14322</v>
      </c>
      <c r="E51">
        <v>88.53</v>
      </c>
    </row>
    <row r="52" spans="1:16" x14ac:dyDescent="0.25">
      <c r="A52" t="s">
        <v>166</v>
      </c>
      <c r="B52" t="s">
        <v>56</v>
      </c>
      <c r="C52">
        <v>119813</v>
      </c>
      <c r="D52">
        <v>19423</v>
      </c>
      <c r="E52">
        <v>83.79</v>
      </c>
    </row>
    <row r="62" spans="1:16" x14ac:dyDescent="0.25">
      <c r="F62">
        <f>116407+21318</f>
        <v>137725</v>
      </c>
    </row>
  </sheetData>
  <autoFilter ref="A1:P62"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Gino Holthausen</dc:creator>
  <cp:lastModifiedBy>Gino Holthausen</cp:lastModifiedBy>
  <dcterms:created xsi:type="dcterms:W3CDTF">2026-02-06T10:31:41Z</dcterms:created>
  <dcterms:modified xsi:type="dcterms:W3CDTF">2026-02-06T15:54:44Z</dcterms:modified>
</cp:coreProperties>
</file>